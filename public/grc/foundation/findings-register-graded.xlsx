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eria" sheetId="2" state="visible" r:id="rId2"/>
    <sheet name="Evidence" sheetId="3" state="visible" r:id="rId3"/>
    <sheet name="Candidates" sheetId="4" state="visible" r:id="rId4"/>
    <sheet name="Findings" sheetId="5" state="visible" r:id="rId5"/>
    <sheet name="Grading" sheetId="6" state="visible" r:id="rId6"/>
    <sheet name="Feedback" sheetId="7" state="visible" r:id="rId7"/>
  </sheets>
  <definedNames>
    <definedName name="_xlnm._FilterDatabase" localSheetId="1" hidden="1">'Criteria'!$A$1:$G$14</definedName>
    <definedName name="_xlnm._FilterDatabase" localSheetId="2" hidden="1">'Evidence'!$A$1:$G$15</definedName>
    <definedName name="_xlnm._FilterDatabase" localSheetId="3" hidden="1">'Candidates'!$A$1:$F$9</definedName>
    <definedName name="_xlnm._FilterDatabase" localSheetId="4" hidden="1">'Findings'!$A$1:$S$9</definedName>
    <definedName name="_xlnm._FilterDatabase" localSheetId="5" hidden="1">'Grading'!$A$1:$F$9</definedName>
    <definedName name="_xlnm._FilterDatabase" localSheetId="6" hidden="1">'Feedback'!$A$1:$C$20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b val="1"/>
      <sz val="14"/>
    </font>
    <font>
      <name val="Arial"/>
      <i val="1"/>
      <sz val="9"/>
    </font>
    <font>
      <name val="Arial"/>
      <color rgb="000000FF"/>
      <sz val="10"/>
    </font>
  </fonts>
  <fills count="4">
    <fill>
      <patternFill/>
    </fill>
    <fill>
      <patternFill patternType="gray125"/>
    </fill>
    <fill>
      <patternFill patternType="solid">
        <fgColor rgb="001F3A5F"/>
      </patternFill>
    </fill>
    <fill>
      <patternFill patternType="solid">
        <fgColor rgb="000F6E6E"/>
      </patternFill>
    </fill>
  </fills>
  <borders count="1">
    <border>
      <left/>
      <right/>
      <top/>
      <bottom/>
      <diagonal/>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pivotButton="0" quotePrefix="0" xfId="0"/>
    <xf numFmtId="0" fontId="3" fillId="0" borderId="0" pivotButton="0" quotePrefix="0" xfId="0"/>
    <xf numFmtId="0" fontId="2" fillId="0" borderId="0" pivotButton="0" quotePrefix="0" xfId="0"/>
    <xf numFmtId="0" fontId="2" fillId="0" borderId="0" applyAlignment="1" pivotButton="0" quotePrefix="0" xfId="0">
      <alignment vertical="top" wrapText="1"/>
    </xf>
    <xf numFmtId="0" fontId="6" fillId="0" borderId="0" pivotButton="0" quotePrefix="0" xfId="0"/>
    <xf numFmtId="0" fontId="2" fillId="0" borderId="0" applyAlignment="1" pivotButton="0" quotePrefix="0" xfId="0">
      <alignment horizontal="left"/>
    </xf>
    <xf numFmtId="0" fontId="1" fillId="2" borderId="0" applyAlignment="1" pivotButton="0" quotePrefix="0" xfId="0">
      <alignment vertical="center" wrapText="1"/>
    </xf>
    <xf numFmtId="0" fontId="1" fillId="3" borderId="0" applyAlignment="1" pivotButton="0" quotePrefix="0" xfId="0">
      <alignment vertical="center" wrapText="1"/>
    </xf>
    <xf numFmtId="0" fontId="3" fillId="0" borderId="0" applyAlignment="1" pivotButton="0" quotePrefix="0" xfId="0">
      <alignment vertical="top" wrapText="1"/>
    </xf>
  </cellXfs>
  <cellStyles count="1">
    <cellStyle name="Normal" xfId="0" builtinId="0" hidden="0"/>
  </cellStyles>
  <dxfs count="6">
    <dxf>
      <fill>
        <patternFill patternType="solid">
          <fgColor rgb="00F8CBCB"/>
          <bgColor rgb="00F8CBCB"/>
        </patternFill>
      </fill>
    </dxf>
    <dxf>
      <fill>
        <patternFill patternType="solid">
          <fgColor rgb="00C9E8D2"/>
          <bgColor rgb="00C9E8D2"/>
        </patternFill>
      </fill>
    </dxf>
    <dxf>
      <fill>
        <patternFill patternType="solid">
          <fgColor rgb="00FFE9A8"/>
          <bgColor rgb="00FFE9A8"/>
        </patternFill>
      </fill>
    </dxf>
    <dxf>
      <fill>
        <patternFill patternType="solid">
          <fgColor rgb="00E3E3E3"/>
          <bgColor rgb="00E3E3E3"/>
        </patternFill>
      </fill>
    </dxf>
    <dxf>
      <fill>
        <patternFill patternType="solid">
          <fgColor rgb="00CFE3F7"/>
          <bgColor rgb="00CFE3F7"/>
        </patternFill>
      </fill>
    </dxf>
    <dxf>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4" customWidth="1" min="1" max="1"/>
    <col width="14" customWidth="1" min="2" max="2"/>
    <col width="70" customWidth="1" min="3" max="3"/>
  </cols>
  <sheetData>
    <row r="1">
      <c r="A1" s="1" t="inlineStr">
        <is>
          <t>Ashgrove Dental: gap assessment register</t>
        </is>
      </c>
    </row>
    <row r="2">
      <c r="A2" s="2" t="inlineStr">
        <is>
          <t>Source: notes (2).md (as submitted, with grading added). Built 2026-10-22 by tools/notes_to_xlsx.py. Fictional data.</t>
        </is>
      </c>
    </row>
    <row r="4">
      <c r="A4" s="3" t="inlineStr">
        <is>
          <t>Criteria results</t>
        </is>
      </c>
      <c r="C4" s="3" t="inlineStr">
        <is>
          <t>How to use this workbook</t>
        </is>
      </c>
    </row>
    <row r="5">
      <c r="A5" s="4" t="inlineStr">
        <is>
          <t>not tested</t>
        </is>
      </c>
      <c r="B5" s="4">
        <f>COUNTIF(Criteria!$F$2:$F$200,A5)</f>
        <v/>
      </c>
      <c r="C5" s="5" t="inlineStr">
        <is>
          <t>Blue cells are inputs you can change: finding slots and the two rating thresholds.</t>
        </is>
      </c>
    </row>
    <row r="6">
      <c r="A6" s="4" t="inlineStr">
        <is>
          <t>meets</t>
        </is>
      </c>
      <c r="B6" s="4">
        <f>COUNTIF(Criteria!$F$2:$F$200,A6)</f>
        <v/>
      </c>
      <c r="C6" s="5" t="inlineStr">
        <is>
          <t>Dropdown columns: Result (Criteria), Type (Evidence), Status and Evidence strength (Candidates), Likelihood and Impact (Findings, 1 to 3).</t>
        </is>
      </c>
    </row>
    <row r="7">
      <c r="A7" s="4" t="inlineStr">
        <is>
          <t>gap</t>
        </is>
      </c>
      <c r="B7" s="4">
        <f>COUNTIF(Criteria!$F$2:$F$200,A7)</f>
        <v/>
      </c>
      <c r="C7" s="5" t="inlineStr">
        <is>
          <t>Score and Rating on Findings are formulas. Change Likelihood or Impact and they update, and so do the counts here.</t>
        </is>
      </c>
    </row>
    <row r="8">
      <c r="A8" s="4" t="inlineStr">
        <is>
          <t>can't test</t>
        </is>
      </c>
      <c r="B8" s="4">
        <f>COUNTIF(Criteria!$F$2:$F$200,A8)</f>
        <v/>
      </c>
      <c r="C8" s="5" t="inlineStr">
        <is>
          <t>Pink cells on Findings are required fields that are empty (Criteria, Condition, Cause, Consequence, Action).</t>
        </is>
      </c>
    </row>
    <row r="9">
      <c r="C9" s="5" t="inlineStr">
        <is>
          <t>Assumption: scale 1-3, High at 7 or more, Medium at 4 to 6, Low below 4. Edit the thresholds if you change the scale.</t>
        </is>
      </c>
    </row>
    <row r="10">
      <c r="A10" s="3" t="inlineStr">
        <is>
          <t>Evidence by type</t>
        </is>
      </c>
      <c r="C10" s="5" t="inlineStr">
        <is>
          <t>The original work is unchanged and shown as submitted, mistakes included.</t>
        </is>
      </c>
    </row>
    <row r="11">
      <c r="A11" s="4" t="inlineStr">
        <is>
          <t>system</t>
        </is>
      </c>
      <c r="B11" s="4">
        <f>COUNTIF(Evidence!$D$2:$D$200,A11)</f>
        <v/>
      </c>
      <c r="C11" s="5" t="inlineStr">
        <is>
          <t>Teal headers (Grader note, Key rating, Grader feedback) and the row marked Added from grading are the grader's additions. See the Grading and Feedback sheets.</t>
        </is>
      </c>
    </row>
    <row r="12">
      <c r="A12" s="4" t="inlineStr">
        <is>
          <t>document</t>
        </is>
      </c>
      <c r="B12" s="4">
        <f>COUNTIF(Evidence!$D$2:$D$200,A12)</f>
        <v/>
      </c>
    </row>
    <row r="13">
      <c r="A13" s="4" t="inlineStr">
        <is>
          <t>observation</t>
        </is>
      </c>
      <c r="B13" s="4">
        <f>COUNTIF(Evidence!$D$2:$D$200,A13)</f>
        <v/>
      </c>
    </row>
    <row r="14">
      <c r="A14" s="4" t="inlineStr">
        <is>
          <t>interview</t>
        </is>
      </c>
      <c r="B14" s="4">
        <f>COUNTIF(Evidence!$D$2:$D$200,A14)</f>
        <v/>
      </c>
    </row>
    <row r="16">
      <c r="A16" s="3" t="inlineStr">
        <is>
          <t>Candidates by status</t>
        </is>
      </c>
    </row>
    <row r="17">
      <c r="A17" s="4" t="inlineStr">
        <is>
          <t>candidate</t>
        </is>
      </c>
      <c r="B17" s="4">
        <f>COUNTIF(Candidates!$C$2:$C$200,A17)</f>
        <v/>
      </c>
    </row>
    <row r="18">
      <c r="A18" s="4" t="inlineStr">
        <is>
          <t>selected</t>
        </is>
      </c>
      <c r="B18" s="4">
        <f>COUNTIF(Candidates!$C$2:$C$200,A18)</f>
        <v/>
      </c>
    </row>
    <row r="19">
      <c r="A19" s="4" t="inlineStr">
        <is>
          <t>dropped</t>
        </is>
      </c>
      <c r="B19" s="4">
        <f>COUNTIF(Candidates!$C$2:$C$200,A19)</f>
        <v/>
      </c>
    </row>
    <row r="21">
      <c r="A21" t="inlineStr">
        <is>
          <t>Finding slots (input)</t>
        </is>
      </c>
      <c r="B21" s="6" t="n">
        <v>8</v>
      </c>
    </row>
    <row r="22">
      <c r="A22" s="4" t="inlineStr">
        <is>
          <t>Slots left (submitted)</t>
        </is>
      </c>
      <c r="B22" s="4">
        <f>B21-B18</f>
        <v/>
      </c>
    </row>
    <row r="24">
      <c r="A24" s="3" t="inlineStr">
        <is>
          <t>Findings by rating</t>
        </is>
      </c>
      <c r="B24" s="3" t="inlineStr">
        <is>
          <t>Submitted</t>
        </is>
      </c>
      <c r="C24" s="3" t="inlineStr">
        <is>
          <t>Added from grading</t>
        </is>
      </c>
    </row>
    <row r="25">
      <c r="A25" s="4" t="inlineStr">
        <is>
          <t>High</t>
        </is>
      </c>
      <c r="B25" s="4">
        <f>COUNTIFS(Findings!$O$2:$O$200,A25,Findings!$Q$2:$Q$200,"Submitted")</f>
        <v/>
      </c>
      <c r="C25" s="7">
        <f>COUNTIFS(Findings!$O$2:$O$200,A25,Findings!$Q$2:$Q$200,"Added from grading")</f>
        <v/>
      </c>
    </row>
    <row r="26">
      <c r="A26" s="4" t="inlineStr">
        <is>
          <t>Medium</t>
        </is>
      </c>
      <c r="B26" s="4">
        <f>COUNTIFS(Findings!$O$2:$O$200,A26,Findings!$Q$2:$Q$200,"Submitted")</f>
        <v/>
      </c>
      <c r="C26" s="7">
        <f>COUNTIFS(Findings!$O$2:$O$200,A26,Findings!$Q$2:$Q$200,"Added from grading")</f>
        <v/>
      </c>
    </row>
    <row r="27">
      <c r="A27" s="4" t="inlineStr">
        <is>
          <t>Low</t>
        </is>
      </c>
      <c r="B27" s="4">
        <f>COUNTIFS(Findings!$O$2:$O$200,A27,Findings!$Q$2:$Q$200,"Submitted")</f>
        <v/>
      </c>
      <c r="C27" s="7">
        <f>COUNTIFS(Findings!$O$2:$O$200,A27,Findings!$Q$2:$Q$200,"Added from grading")</f>
        <v/>
      </c>
    </row>
    <row r="29">
      <c r="A29" s="3" t="inlineStr">
        <is>
          <t>Rating thresholds (score = likelihood x impact, scale 1-3 each)</t>
        </is>
      </c>
    </row>
    <row r="30">
      <c r="A30" s="4" t="inlineStr">
        <is>
          <t>High at or above</t>
        </is>
      </c>
      <c r="B30" s="6" t="n">
        <v>7</v>
      </c>
    </row>
    <row r="31">
      <c r="A31" s="4" t="inlineStr">
        <is>
          <t>Medium at or above</t>
        </is>
      </c>
      <c r="B31" s="6" t="n">
        <v>4</v>
      </c>
    </row>
    <row r="33">
      <c r="A33" s="3" t="inlineStr">
        <is>
          <t>Findings with an empty required field</t>
        </is>
      </c>
      <c r="B33" s="4">
        <f>SUMPRODUCT((Findings!$A$2:$A$200&lt;&gt;"")*((Findings!$C$2:$C$200="")+(Findings!$D$2:$D$200="")+(Findings!$E$2:$E$200="")+(Findings!$F$2:$F$200="")+(Findings!$G$2:$G$200="")&gt;0))</f>
        <v/>
      </c>
    </row>
    <row r="35">
      <c r="A35" s="3" t="inlineStr">
        <is>
          <t>Grading (from the grading report)</t>
        </is>
      </c>
    </row>
    <row r="36">
      <c r="A36" s="4" t="inlineStr">
        <is>
          <t>Planted gaps caught</t>
        </is>
      </c>
      <c r="B36" s="4">
        <f>COUNTIF(Grading!$C$2:$C$20,"Caught*")</f>
        <v/>
      </c>
    </row>
    <row r="37">
      <c r="A37" s="4" t="inlineStr">
        <is>
          <t>Planted gaps missed</t>
        </is>
      </c>
      <c r="B37" s="4">
        <f>COUNTIF(Grading!$C$2:$C$20,"Missed")</f>
        <v/>
      </c>
    </row>
    <row r="38">
      <c r="A38" s="4" t="inlineStr">
        <is>
          <t>Findings submitted</t>
        </is>
      </c>
      <c r="B38" s="4">
        <f>COUNTIF(Findings!$Q$2:$Q$200,"Submitted")</f>
        <v/>
      </c>
    </row>
    <row r="39">
      <c r="A39" s="4" t="inlineStr">
        <is>
          <t>Findings added from grading</t>
        </is>
      </c>
      <c r="B39" s="4">
        <f>COUNTIF(Findings!$Q$2:$Q$200,"Added from grading")</f>
        <v/>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55" customWidth="1" min="3" max="3"/>
    <col width="40" customWidth="1" min="4" max="4"/>
    <col width="60" customWidth="1" min="5" max="5"/>
    <col width="14" customWidth="1" min="6" max="6"/>
    <col width="55" customWidth="1" min="7" max="7"/>
  </cols>
  <sheetData>
    <row r="1">
      <c r="A1" s="8" t="inlineStr">
        <is>
          <t>ID</t>
        </is>
      </c>
      <c r="B1" s="8" t="inlineStr">
        <is>
          <t>Source</t>
        </is>
      </c>
      <c r="C1" s="8" t="inlineStr">
        <is>
          <t>Rule</t>
        </is>
      </c>
      <c r="D1" s="8" t="inlineStr">
        <is>
          <t>Evidence needed</t>
        </is>
      </c>
      <c r="E1" s="8" t="inlineStr">
        <is>
          <t>Ev # received</t>
        </is>
      </c>
      <c r="F1" s="8" t="inlineStr">
        <is>
          <t>Result</t>
        </is>
      </c>
      <c r="G1" s="9" t="inlineStr">
        <is>
          <t>Grader note</t>
        </is>
      </c>
    </row>
    <row r="2">
      <c r="A2" s="5" t="inlineStr">
        <is>
          <t>C-01</t>
        </is>
      </c>
      <c r="B2" s="5" t="inlineStr">
        <is>
          <t>incident-procedure-and-log.md rule 1</t>
        </is>
      </c>
      <c r="C2" s="5" t="inlineStr">
        <is>
          <t>Anyone who spots a security problem (suspicious email, lost device, wrong recipient, odd login) tells the Practice Manager (J. Stone) straight away.</t>
        </is>
      </c>
      <c r="D2" s="5" t="inlineStr">
        <is>
          <t>Records showing who contacted the practice manager and when. A reported by and reported date in the incident log.</t>
        </is>
      </c>
      <c r="E2" s="5" t="inlineStr">
        <is>
          <t>EV-01: Emails were provided but were missing time and dates for when some of the incidents were reported.</t>
        </is>
      </c>
      <c r="F2" s="5" t="inlineStr">
        <is>
          <t>can't test</t>
        </is>
      </c>
      <c r="G2" s="5" t="inlineStr">
        <is>
          <t>Dropping the weak candidate for this rule, rather than padding, was the right call.</t>
        </is>
      </c>
    </row>
    <row r="3">
      <c r="A3" s="5" t="inlineStr">
        <is>
          <t>C-02</t>
        </is>
      </c>
      <c r="B3" s="5" t="inlineStr">
        <is>
          <t>incident-procedure-and-log.md rule 2</t>
        </is>
      </c>
      <c r="C3" s="5" t="inlineStr">
        <is>
          <t>The Practice Manager records it in the incident log and takes immediate action.</t>
        </is>
      </c>
      <c r="D3" s="5" t="inlineStr">
        <is>
          <t>Record showing when the Practice Manager logged the incidents.</t>
        </is>
      </c>
      <c r="E3" s="5" t="inlineStr">
        <is>
          <t>Ev-2: Practice manager has an incident log with dates of when they were logged.</t>
        </is>
      </c>
      <c r="F3" s="5" t="inlineStr">
        <is>
          <t>meets</t>
        </is>
      </c>
      <c r="G3" s="5" t="inlineStr"/>
    </row>
    <row r="4">
      <c r="A4" s="5" t="inlineStr">
        <is>
          <t>C-03</t>
        </is>
      </c>
      <c r="B4" s="5" t="inlineStr">
        <is>
          <t>incident-procedure-and-log.md rule 3</t>
        </is>
      </c>
      <c r="C4" s="5" t="inlineStr">
        <is>
          <t>If patient data may be affected, the Practice Manager decides within 72 hours whether the ICO must be told and whether patients must be notified, and records the decision in the log.</t>
        </is>
      </c>
      <c r="D4" s="5" t="inlineStr">
        <is>
          <t>Date/Time of the practice manager decision, logs of when either patients were notified or when ICO was notified</t>
        </is>
      </c>
      <c r="E4" s="5" t="inlineStr">
        <is>
          <t>Ev-03: incident-and-procedure-and-log.md shows that in 3/5 incidents a decision was logged about whether an ICO/patient decision was made.   INC-01 ICO was notified but patient data was not effected no need for patient notification INC-02 ICO was notified but data is encrypted no need for patient notifcation INC-5 ICO was notified drs account was access but no evidence of patient data being accessed. No need for patient notification</t>
        </is>
      </c>
      <c r="F4" s="5" t="inlineStr">
        <is>
          <t>meets</t>
        </is>
      </c>
      <c r="G4" s="5" t="inlineStr">
        <is>
          <t>Marked meets. This is wrong. The rule is conditional ("if patient data may be affected"), so test each incident: does the condition apply, and if so is a decision recorded? INC-03 and INC-04 have none. The same error hid INC-04, the missed finding.</t>
        </is>
      </c>
    </row>
    <row r="5">
      <c r="A5" s="5" t="inlineStr">
        <is>
          <t>C-04</t>
        </is>
      </c>
      <c r="B5" s="5" t="inlineStr">
        <is>
          <t>incident-procedure-and-log.md rule 4</t>
        </is>
      </c>
      <c r="C5" s="5" t="inlineStr">
        <is>
          <t>The Practice Manager reviews every incident within 5 working days and records the cause and any change made.</t>
        </is>
      </c>
      <c r="D5" s="5" t="inlineStr">
        <is>
          <t>A report of the changes made after incidents plus the causes of these incidents.</t>
        </is>
      </c>
      <c r="E5" s="5" t="inlineStr">
        <is>
          <t>Ev-04: Document shows that INC-03 and 04 are missing review date and causes.   INC-03	2026-06-19 - This incident was closed on 2026-06-19 but no review date was recorded or cause  INC-04	2026-07-23 - This incident was closed on 2026-07-24 but no review date or cause recorded</t>
        </is>
      </c>
      <c r="F5" s="5" t="inlineStr">
        <is>
          <t>gap</t>
        </is>
      </c>
      <c r="G5" s="5" t="inlineStr"/>
    </row>
    <row r="6">
      <c r="A6" s="5" t="inlineStr">
        <is>
          <t>C-05</t>
        </is>
      </c>
      <c r="B6" s="5" t="inlineStr">
        <is>
          <t>access-control-policy.md rule 1</t>
        </is>
      </c>
      <c r="C6" s="5" t="inlineStr">
        <is>
          <t>Every member of staff has their own individual account. A shared login is allowed only with written approval from the Practice Manager, recorded in the exceptions register.</t>
        </is>
      </c>
      <c r="D6" s="5" t="inlineStr">
        <is>
          <t>evidence of the exemeptions register and written approvals for active shared accounts.</t>
        </is>
      </c>
      <c r="E6" s="5" t="inlineStr">
        <is>
          <t>Ev-06: Document shows shared logins requests for the x-ray pc, reason for this and approved by. What's missing is the requests for shared account requests for the two reception desks as shown in the user-list.csv. Jess also confirmed in interview-notes-practice-manager.md</t>
        </is>
      </c>
      <c r="F6" s="5" t="inlineStr">
        <is>
          <t>gap</t>
        </is>
      </c>
      <c r="G6" s="5" t="inlineStr"/>
    </row>
    <row r="7">
      <c r="A7" s="5" t="inlineStr">
        <is>
          <t>C-06</t>
        </is>
      </c>
      <c r="B7" s="5" t="inlineStr">
        <is>
          <t>access-control-policy.md rule 2</t>
        </is>
      </c>
      <c r="C7" s="5" t="inlineStr">
        <is>
          <t>Multi-factor authentication (MFA) must be switched on for every account that can open patient records.</t>
        </is>
      </c>
      <c r="D7" s="5" t="inlineStr">
        <is>
          <t>Records of active users that have MFA enabled who are actively looking at client files</t>
        </is>
      </c>
      <c r="E7" s="5" t="inlineStr">
        <is>
          <t>Ev-07: user list shows that dr.bell, dr.chaudhry, dr.dunmore, dr.eze, rec.quinn, x-ray-pc, reception-clifton and reception-redland (8/30) do not have MFA enabled out of those the 4 doctors have access to client records so they should have it enabled.</t>
        </is>
      </c>
      <c r="F7" s="5" t="inlineStr">
        <is>
          <t>gap</t>
        </is>
      </c>
      <c r="G7" s="5" t="inlineStr">
        <is>
          <t>Correct as a gap. Name should be xray-pc, not x-ray-pc.</t>
        </is>
      </c>
    </row>
    <row r="8">
      <c r="A8" s="5" t="inlineStr">
        <is>
          <t>C-07</t>
        </is>
      </c>
      <c r="B8" s="5" t="inlineStr">
        <is>
          <t>access-control-policy.md rule 3</t>
        </is>
      </c>
      <c r="C8" s="5" t="inlineStr">
        <is>
          <t>When someone leaves the practice, their account is disabled by the end of their last working day.</t>
        </is>
      </c>
      <c r="D8" s="5" t="inlineStr">
        <is>
          <t>A list of users that have left the company, whether their account is disabled, date of disabling and last log in date</t>
        </is>
      </c>
      <c r="E8" s="5" t="inlineStr">
        <is>
          <t>Ev-08: hyg.hart, nurse.lowe, nurse.nolan, rec.rees, fin.vance all have left the company and still have their accounts enabled. Lowe, Rees and Vance all logged in after they left.   Lowe: 2026-05-29,Enabled,2026-06-12 Rees: 2026-07-31,Enabled,2026-08-04 Vance: 2026-03-06,Enabled,2026-03-09  Hart left 188 days ago - still enabled Lowe left 146 days ago - still enabled Nolan left 40 days ago - still enabled Rees left 83 days ago - still enabled Vance left 230 days ago - still enabled</t>
        </is>
      </c>
      <c r="F8" s="5" t="inlineStr">
        <is>
          <t>gap</t>
        </is>
      </c>
      <c r="G8" s="5" t="inlineStr"/>
    </row>
    <row r="9">
      <c r="A9" s="5" t="inlineStr">
        <is>
          <t>C-08</t>
        </is>
      </c>
      <c r="B9" s="5" t="inlineStr">
        <is>
          <t>access-control-policy.md rule 4</t>
        </is>
      </c>
      <c r="C9" s="5" t="inlineStr">
        <is>
          <t>Account access is reviewed every six months by the Practice Manager. The signed review is filed.</t>
        </is>
      </c>
      <c r="D9" s="5" t="inlineStr">
        <is>
          <t>Record of the signed review and the last time it was run</t>
        </is>
      </c>
      <c r="E9" s="5" t="inlineStr">
        <is>
          <t>Ev-15: Rule states that every six months a review is done for account access. In the interview, Jess Stone stated that a review was missed in September. Access-reviews-exceptions-and-config.md has the 2026 review logged 2026-02-20. The next review should have been 2026-08-20 but was missed.</t>
        </is>
      </c>
      <c r="F9" s="5" t="inlineStr">
        <is>
          <t>gap</t>
        </is>
      </c>
      <c r="G9" s="5" t="inlineStr"/>
    </row>
    <row r="10">
      <c r="A10" s="5" t="inlineStr">
        <is>
          <t>C-09</t>
        </is>
      </c>
      <c r="B10" s="5" t="inlineStr">
        <is>
          <t>access-control-policy.md rule 5</t>
        </is>
      </c>
      <c r="C10" s="5" t="inlineStr">
        <is>
          <t>Passwords are at least 10 characters. Accounts lock after 5 failed sign-ins.</t>
        </is>
      </c>
      <c r="D10" s="5" t="inlineStr">
        <is>
          <t>Evidence of cofiguration settings for the passwords</t>
        </is>
      </c>
      <c r="E10" s="5" t="inlineStr">
        <is>
          <t>Ev-09: Document shows the configurations of the passwords taken recently from M365. Shows that the policy is being upheld with 10 character limit and lockout after 5 unsuccesfull attempts.</t>
        </is>
      </c>
      <c r="F10" s="5" t="inlineStr">
        <is>
          <t>meets</t>
        </is>
      </c>
      <c r="G10" s="5" t="inlineStr">
        <is>
          <t>Correct: meets. No slot was spent on password length.</t>
        </is>
      </c>
    </row>
    <row r="11">
      <c r="A11" s="5" t="inlineStr">
        <is>
          <t>C-10</t>
        </is>
      </c>
      <c r="B11" s="5" t="inlineStr">
        <is>
          <t>access-control-policy.md rule 6</t>
        </is>
      </c>
      <c r="C11" s="5" t="inlineStr">
        <is>
          <t>Staff can open the records only of patients booked at their own clinic. Access to patient records is logged.</t>
        </is>
      </c>
      <c r="D11" s="5" t="inlineStr">
        <is>
          <t>Logs of who has been accessing the records and their locations in relation to their patients.</t>
        </is>
      </c>
      <c r="E11" s="5" t="inlineStr">
        <is>
          <t>EV-10: Requested logs for patient record access on 2026-10-21</t>
        </is>
      </c>
      <c r="F11" s="5" t="inlineStr">
        <is>
          <t>can't test</t>
        </is>
      </c>
      <c r="G11" s="5" t="inlineStr">
        <is>
          <t>Correct: can't test, not a gap, with the request logged. Next time also ask for the clinic permission settings, not only the logs.</t>
        </is>
      </c>
    </row>
    <row r="12">
      <c r="A12" s="5" t="inlineStr">
        <is>
          <t>C-11</t>
        </is>
      </c>
      <c r="B12" s="5" t="inlineStr">
        <is>
          <t>supplier-policy-and-register.md rule 1</t>
        </is>
      </c>
      <c r="C12" s="5" t="inlineStr">
        <is>
          <t>No personal data is shared with a supplier until a written data processing agreement (DPA) is in place.</t>
        </is>
      </c>
      <c r="D12" s="5" t="inlineStr">
        <is>
          <t>Evidence of written DPA with these suppliers and date/time when the company started sharing data.</t>
        </is>
      </c>
      <c r="E12" s="5" t="inlineStr">
        <is>
          <t>Ev-11: DentaCloud Ltd, DPA Date: 2024-09-12, Data Shared: 2024-09-30 ScanVault, DPA date: 2024-11-05, Data first shared: 2024-11-11 NetSteady, DPA date: 2025-02-10, Data first shared: 2025-02-17 BrightPay, DPA date: 2025-06-02, Data first shared: 2025-06-27  Logs show that data was shared after DPA was signed.   Missing are the single record of PatientPing that the receptionists signed on for, this has no DPA signed but customer information is being signed.</t>
        </is>
      </c>
      <c r="F12" s="5" t="inlineStr">
        <is>
          <t>gap</t>
        </is>
      </c>
      <c r="G12" s="5" t="inlineStr"/>
    </row>
    <row r="13">
      <c r="A13" s="5" t="inlineStr">
        <is>
          <t>C-12</t>
        </is>
      </c>
      <c r="B13" s="5" t="inlineStr">
        <is>
          <t>supplier-policy-and-register.md rule 2</t>
        </is>
      </c>
      <c r="C13" s="5" t="inlineStr">
        <is>
          <t>Critical suppliers (those that hold patient records or images) are reviewed every 12 months, and the review is recorded.</t>
        </is>
      </c>
      <c r="D13" s="5" t="inlineStr">
        <is>
          <t>Evidence of the review records and when they were last done</t>
        </is>
      </c>
      <c r="E13" s="5" t="inlineStr">
        <is>
          <t>E-13: Document shows that ScanVault was last reviewed on 2024-11-05, according to the rule suppliers that handle customer images need to be reviewed every 12 months. 4/6 of the suppliers on that register are critical of those 4 only 1 has not been reviewed after a year.</t>
        </is>
      </c>
      <c r="F13" s="5" t="inlineStr">
        <is>
          <t>gap</t>
        </is>
      </c>
      <c r="G13" s="5" t="inlineStr"/>
    </row>
    <row r="14">
      <c r="A14" s="5" t="inlineStr">
        <is>
          <t>C-13</t>
        </is>
      </c>
      <c r="B14" s="5" t="inlineStr">
        <is>
          <t>supplier-policy-and-register.md rule 3</t>
        </is>
      </c>
      <c r="C14" s="5" t="inlineStr">
        <is>
          <t>The Practice Manager keeps the supplier register up to date.</t>
        </is>
      </c>
      <c r="D14" s="5" t="inlineStr">
        <is>
          <t>Updated supplier register and evidence of how ofter they are updated</t>
        </is>
      </c>
      <c r="E14" s="5" t="inlineStr">
        <is>
          <t>Ev-14: Document shows that it was updated on 2026-10-14 according to the rule. But for it to be up to date it would need to have all the suppliers up to date as well. ScanVault has not been reviewed since 2024-11-05. Even though the as at 2026-10-14 date shows the register was updated it lacks that updated review.</t>
        </is>
      </c>
      <c r="F14" s="5" t="inlineStr">
        <is>
          <t>gap</t>
        </is>
      </c>
      <c r="G14" s="5" t="inlineStr">
        <is>
          <t>Marked gap. This double-counts ScanVault, which is the overdue-review gap in F-06 (rule 2). This rule is about keeping the register updated.</t>
        </is>
      </c>
    </row>
  </sheetData>
  <autoFilter ref="A1:G14"/>
  <conditionalFormatting sqref="F2:F200">
    <cfRule type="cellIs" priority="1" operator="equal" dxfId="0">
      <formula>"gap"</formula>
    </cfRule>
    <cfRule type="cellIs" priority="2" operator="equal" dxfId="1">
      <formula>"meets"</formula>
    </cfRule>
    <cfRule type="cellIs" priority="3" operator="equal" dxfId="2">
      <formula>"can't test"</formula>
    </cfRule>
  </conditionalFormatting>
  <dataValidations count="1">
    <dataValidation sqref="F2:F200" showDropDown="0" showInputMessage="0" showErrorMessage="0" allowBlank="1" type="list">
      <formula1>"not tested,meets,gap,can't test"</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30" customWidth="1" min="3" max="3"/>
    <col width="13" customWidth="1" min="4" max="4"/>
    <col width="70" customWidth="1" min="5" max="5"/>
    <col width="45" customWidth="1" min="6" max="6"/>
    <col width="55" customWidth="1" min="7" max="7"/>
  </cols>
  <sheetData>
    <row r="1">
      <c r="A1" s="8" t="inlineStr">
        <is>
          <t>ID</t>
        </is>
      </c>
      <c r="B1" s="8" t="inlineStr">
        <is>
          <t>Date</t>
        </is>
      </c>
      <c r="C1" s="8" t="inlineStr">
        <is>
          <t>Source</t>
        </is>
      </c>
      <c r="D1" s="8" t="inlineStr">
        <is>
          <t>Type</t>
        </is>
      </c>
      <c r="E1" s="8" t="inlineStr">
        <is>
          <t>What it shows</t>
        </is>
      </c>
      <c r="F1" s="8" t="inlineStr">
        <is>
          <t>Reliability note</t>
        </is>
      </c>
      <c r="G1" s="9" t="inlineStr">
        <is>
          <t>Grader note</t>
        </is>
      </c>
    </row>
    <row r="2">
      <c r="A2" s="5" t="inlineStr">
        <is>
          <t>E-01</t>
        </is>
      </c>
      <c r="B2" s="5" t="inlineStr">
        <is>
          <t>2026-10-22</t>
        </is>
      </c>
      <c r="C2" s="5" t="inlineStr">
        <is>
          <t>incident-emails.md</t>
        </is>
      </c>
      <c r="D2" s="5" t="inlineStr">
        <is>
          <t>document</t>
        </is>
      </c>
      <c r="E2" s="5" t="inlineStr">
        <is>
          <t>Shows that 2 incidents were reported straight away when they happened. 3 others unconfirmed on times they were reported and by whom</t>
        </is>
      </c>
      <c r="F2" s="5" t="inlineStr">
        <is>
          <t>Semi reliable as I can see two incidents were reported and quickly logged . Others I am unable to see if they were reported quickly.</t>
        </is>
      </c>
      <c r="G2" s="5" t="inlineStr"/>
    </row>
    <row r="3">
      <c r="A3" s="5" t="inlineStr">
        <is>
          <t>E-02</t>
        </is>
      </c>
      <c r="B3" s="5" t="inlineStr">
        <is>
          <t>2026-10-22</t>
        </is>
      </c>
      <c r="C3" s="5" t="inlineStr">
        <is>
          <t>incident-procedure-and-log.md</t>
        </is>
      </c>
      <c r="D3" s="5" t="inlineStr">
        <is>
          <t>document</t>
        </is>
      </c>
      <c r="E3" s="5" t="inlineStr">
        <is>
          <t>Document shows that incidents are reported and logged by the Practice Manager. Date is included in the log so I can see when these logs were created.</t>
        </is>
      </c>
      <c r="F3" s="5" t="inlineStr">
        <is>
          <t>Semi reliable as I know from the incident-emails.md the date and time of INC-04 and 05, I can see that the Practice Manager took immediate action as per the logs. INC-01, 02, 03 do not have these dates so I'm unsure if they were dealt with swiftly.</t>
        </is>
      </c>
      <c r="G3" s="5" t="inlineStr"/>
    </row>
    <row r="4">
      <c r="A4" s="5" t="inlineStr">
        <is>
          <t>E-03</t>
        </is>
      </c>
      <c r="B4" s="5" t="inlineStr">
        <is>
          <t>2026-10-22</t>
        </is>
      </c>
      <c r="C4" s="5" t="inlineStr">
        <is>
          <t>Jess Stone</t>
        </is>
      </c>
      <c r="D4" s="5" t="inlineStr">
        <is>
          <t>document</t>
        </is>
      </c>
      <c r="E4" s="5" t="inlineStr">
        <is>
          <t>incident-and-procedure-and-log.md shows that in 3/5 incidents a decision was logged about whether an ICO/patient decision was made.   INC-01 ICO was notified but patient data was not effected no need for patient notification INC-02 ICO was notified but data is encrypted no need for patient notifcation INC-5 ICO was notified drs account was access but no evidence of patient data being accessed. No need for patient notification</t>
        </is>
      </c>
      <c r="F4" s="5" t="inlineStr">
        <is>
          <t>Unable to confirm if decision was made within 72 hours.</t>
        </is>
      </c>
      <c r="G4" s="5" t="inlineStr">
        <is>
          <t>Counted entries (3 of 5 with a decision) instead of testing each incident. Also says the ICO was notified for INC-01, 02 and 05. It was not: the decision in each case was that no notification was needed, and nothing was sent.</t>
        </is>
      </c>
    </row>
    <row r="5">
      <c r="A5" s="5" t="inlineStr">
        <is>
          <t>E-04</t>
        </is>
      </c>
      <c r="B5" s="5" t="inlineStr">
        <is>
          <t>2026-10-22</t>
        </is>
      </c>
      <c r="C5" s="5" t="inlineStr">
        <is>
          <t>Jess Stone</t>
        </is>
      </c>
      <c r="D5" s="5" t="inlineStr">
        <is>
          <t>document</t>
        </is>
      </c>
      <c r="E5" s="5" t="inlineStr">
        <is>
          <t>Document shows that INC-03 and 04 are missing review date and causes.   INC-03	2026-06-19 - This incident was closed on 2026-06-19 but no review date was recorded or cause  INC-04	2026-07-23 - This incident was closed on 2026-07-24 but no review date or cause recorded</t>
        </is>
      </c>
      <c r="F5" s="5" t="inlineStr">
        <is>
          <t>Unable to confirm on what caused these incidents and if any lasting changes were made.</t>
        </is>
      </c>
      <c r="G5" s="5" t="inlineStr"/>
    </row>
    <row r="6">
      <c r="A6" s="5" t="inlineStr">
        <is>
          <t>E-06</t>
        </is>
      </c>
      <c r="B6" s="5" t="inlineStr">
        <is>
          <t>2026-10-22</t>
        </is>
      </c>
      <c r="C6" s="5" t="inlineStr">
        <is>
          <t>access-reviews-exceptions-and-config.md</t>
        </is>
      </c>
      <c r="D6" s="5" t="inlineStr">
        <is>
          <t>document</t>
        </is>
      </c>
      <c r="E6" s="5" t="inlineStr">
        <is>
          <t>Document shows shared logins requests for the x-ray pc, reason for this and approved by. What's missing is the requests for shared account requests for the two reception desks as shown in the user-list.csv. Jess also confirmed in interview-notes-practice-manager.md There is 1 shared logins in the register but 3 shared logins in the user list. 2 are missing from the register.</t>
        </is>
      </c>
      <c r="F6" s="5" t="inlineStr">
        <is>
          <t>Even though it shows shared login request for one instance it's missing the requests for the reception desks which according to the meeting notes is shared due to shift work.</t>
        </is>
      </c>
      <c r="G6" s="5" t="inlineStr"/>
    </row>
    <row r="7">
      <c r="A7" s="5" t="inlineStr">
        <is>
          <t>E-07</t>
        </is>
      </c>
      <c r="B7" s="5" t="inlineStr">
        <is>
          <t>2026-10-22</t>
        </is>
      </c>
      <c r="C7" s="5" t="inlineStr">
        <is>
          <t>user-list.csv</t>
        </is>
      </c>
      <c r="D7" s="5" t="inlineStr">
        <is>
          <t>document</t>
        </is>
      </c>
      <c r="E7" s="5" t="inlineStr">
        <is>
          <t>user list shows that dr.bell, dr.chaudhry, dr.dunmore, dr.eze, rec.quinn, x-ray-pc, reception-clifton and reception-redland (8/30) do not have MFA enabled out of those the 4 doctors have access to client records so they should have it enabled.</t>
        </is>
      </c>
      <c r="F7" s="5" t="inlineStr"/>
      <c r="G7" s="5" t="inlineStr">
        <is>
          <t>Name should be xray-pc. Add that 4 of the 6 dentists are affected.</t>
        </is>
      </c>
    </row>
    <row r="8">
      <c r="A8" s="5" t="inlineStr">
        <is>
          <t>E-08</t>
        </is>
      </c>
      <c r="B8" s="5" t="inlineStr">
        <is>
          <t>2026-10-22</t>
        </is>
      </c>
      <c r="C8" s="5" t="inlineStr">
        <is>
          <t>user-list.csv</t>
        </is>
      </c>
      <c r="D8" s="5" t="inlineStr">
        <is>
          <t>document</t>
        </is>
      </c>
      <c r="E8" s="5" t="inlineStr">
        <is>
          <t>hyg.hart, nurse.lowe, nurse.nolan, rec.rees, fin.vance all have left the company and still have their accounts enabled. Lowe, Rees and Vance all logged in after they left.   Lowe: 2026-05-29,Enabled,2026-06-12 Rees: 2026-07-31,Enabled,2026-08-04 Vance: 2026-03-06,Enabled,2026-03-09  Hart left 188 days ago - still enabled Lowe left 146 days ago - still enabled Nolan left 40 days ago - still enabled Rees left 83 days ago - still enabled Vance left 230 days ago - still enabled</t>
        </is>
      </c>
      <c r="F8" s="5" t="inlineStr"/>
      <c r="G8" s="5" t="inlineStr">
        <is>
          <t>Count should read 5 of 30 leavers enabled, 3 of the 5 signed in afterwards. Day counts are right but run to 2026-10-22, not the 2026-10-14 export.</t>
        </is>
      </c>
    </row>
    <row r="9">
      <c r="A9" s="5" t="inlineStr">
        <is>
          <t>E-09</t>
        </is>
      </c>
      <c r="B9" s="5" t="inlineStr">
        <is>
          <t>2026-10-22</t>
        </is>
      </c>
      <c r="C9" s="5" t="inlineStr">
        <is>
          <t>access-reviews-exceptions-and-config.md</t>
        </is>
      </c>
      <c r="D9" s="5" t="inlineStr">
        <is>
          <t>system</t>
        </is>
      </c>
      <c r="E9" s="5" t="inlineStr">
        <is>
          <t>Document shows the configurations of the passwords taken recently from M365. Shows that the policy is being upheld with 10 character limit and lockout after 5 unsuccesfull attempts.</t>
        </is>
      </c>
      <c r="F9" s="5" t="inlineStr">
        <is>
          <t>Document is recent showing the up to date settings. Unsure what they were before this date</t>
        </is>
      </c>
      <c r="G9" s="5" t="inlineStr"/>
    </row>
    <row r="10">
      <c r="A10" s="5" t="inlineStr">
        <is>
          <t>E-10</t>
        </is>
      </c>
      <c r="B10" s="5" t="inlineStr">
        <is>
          <t>2026-10-21</t>
        </is>
      </c>
      <c r="C10" s="5" t="inlineStr">
        <is>
          <t>Jess</t>
        </is>
      </c>
      <c r="D10" s="5" t="inlineStr">
        <is>
          <t>document</t>
        </is>
      </c>
      <c r="E10" s="5" t="inlineStr">
        <is>
          <t>Requested logs for patient record access on 2026-10-21</t>
        </is>
      </c>
      <c r="F10" s="5" t="inlineStr"/>
      <c r="G10" s="5" t="inlineStr">
        <is>
          <t>Good: logged as a can't test request. Also request the clinic permission settings.</t>
        </is>
      </c>
    </row>
    <row r="11">
      <c r="A11" s="5" t="inlineStr">
        <is>
          <t>E-11</t>
        </is>
      </c>
      <c r="B11" s="5" t="inlineStr">
        <is>
          <t>2026-10-22</t>
        </is>
      </c>
      <c r="C11" s="5" t="inlineStr">
        <is>
          <t>supplier-dpas-and-start-dates.md</t>
        </is>
      </c>
      <c r="D11" s="5" t="inlineStr">
        <is>
          <t>document</t>
        </is>
      </c>
      <c r="E11" s="5" t="inlineStr">
        <is>
          <t>DentaCloud Ltd, DPA Date: 2024-09-12, Data Shared: 2024-09-30 ScanVault, DPA date: 2024-11-05, Data first shared: 2024-11-11 NetSteady, DPA date: 2025-02-10, Data first shared: 2025-02-17 BrightPay, DPA date: 2025-06-02, Data first shared: 2025-06-27  Logs show that data was shared after DPA was signed.   Missing are the single record of PatientPing that the receptionists signed on for, this has no DPA signed but customer information is being signed.</t>
        </is>
      </c>
      <c r="F11" s="5" t="inlineStr">
        <is>
          <t>Start dates come from Practice Managers records</t>
        </is>
      </c>
      <c r="G11" s="5" t="inlineStr">
        <is>
          <t>Good: reliability noted (start dates come from the practice manager's own records).</t>
        </is>
      </c>
    </row>
    <row r="12">
      <c r="A12" s="5" t="inlineStr">
        <is>
          <t>E-12</t>
        </is>
      </c>
      <c r="B12" s="5" t="inlineStr">
        <is>
          <t>2026-10-22</t>
        </is>
      </c>
      <c r="C12" s="5" t="inlineStr">
        <is>
          <t>supplier-policy-and-register.md</t>
        </is>
      </c>
      <c r="D12" s="5" t="inlineStr">
        <is>
          <t>document</t>
        </is>
      </c>
      <c r="E12" s="5" t="inlineStr">
        <is>
          <t>PatientPing has access to patient names and mobile numbers. This was set up by the reception desk according to interview-notes-practice-manager.md. No DPA was recorded for this even though personal data was shared.</t>
        </is>
      </c>
      <c r="F12" s="5" t="inlineStr"/>
      <c r="G12" s="5" t="inlineStr"/>
    </row>
    <row r="13">
      <c r="A13" s="5" t="inlineStr">
        <is>
          <t>E-13</t>
        </is>
      </c>
      <c r="B13" s="5" t="inlineStr">
        <is>
          <t>2026-10-22</t>
        </is>
      </c>
      <c r="C13" s="5" t="inlineStr">
        <is>
          <t>supplier-policy-and-register.md</t>
        </is>
      </c>
      <c r="D13" s="5" t="inlineStr">
        <is>
          <t>document</t>
        </is>
      </c>
      <c r="E13" s="5" t="inlineStr">
        <is>
          <t>Document shows that ScanVault was last reviewed on 2024-11-05, according to the rule suppliers that handle customer images need to be reviewed every 12 months. 4/6 of the suppliers on that register are critical of those 4 only 1 has not been reviewed after a year.</t>
        </is>
      </c>
      <c r="F13" s="5" t="inlineStr"/>
      <c r="G13" s="5" t="inlineStr"/>
    </row>
    <row r="14">
      <c r="A14" s="5" t="inlineStr">
        <is>
          <t>E-14</t>
        </is>
      </c>
      <c r="B14" s="5" t="inlineStr">
        <is>
          <t>2026-10-22</t>
        </is>
      </c>
      <c r="C14" s="5" t="inlineStr">
        <is>
          <t>supplier-policy-and-register.md</t>
        </is>
      </c>
      <c r="D14" s="5" t="inlineStr">
        <is>
          <t>document</t>
        </is>
      </c>
      <c r="E14" s="5" t="inlineStr">
        <is>
          <t>Document shows that it was updated on 2026-10-14 according to the rule. But for it to be up to date it would need to have all the suppliers up to date as well. ScanVault has not been reviewed since 2024-11-05. Even though the as at 2026-10-14 date shows the register was updated it lacks that updated review.</t>
        </is>
      </c>
      <c r="F14" s="5" t="inlineStr">
        <is>
          <t>I have no previous versions so unable to confirm how often the register is updated.</t>
        </is>
      </c>
      <c r="G14" s="5" t="inlineStr"/>
    </row>
    <row r="15">
      <c r="A15" s="5" t="inlineStr">
        <is>
          <t>E-15</t>
        </is>
      </c>
      <c r="B15" s="5" t="inlineStr">
        <is>
          <t>2026-10-22</t>
        </is>
      </c>
      <c r="C15" s="5" t="inlineStr">
        <is>
          <t>interview-notes-practice-manager.md</t>
        </is>
      </c>
      <c r="D15" s="5" t="inlineStr">
        <is>
          <t>interview</t>
        </is>
      </c>
      <c r="E15" s="5" t="inlineStr">
        <is>
          <t>Rule states that every six months a review is done for account access. In the interview, Jess Stone stated that a review was missed in September. Access-reviews-exceptions-and-config.md has the 2026 review logged 2026-02-20. The next review should have been 2026-08-20 but was missed.</t>
        </is>
      </c>
      <c r="F15" s="5" t="inlineStr"/>
      <c r="G15" s="5" t="inlineStr"/>
    </row>
  </sheetData>
  <autoFilter ref="A1:G15"/>
  <dataValidations count="1">
    <dataValidation sqref="D2:D200" showDropDown="0" showInputMessage="0" showErrorMessage="0" allowBlank="1" type="list">
      <formula1>"system,document,observation,interview"</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12" customWidth="1" min="4" max="4"/>
    <col width="90" customWidth="1" min="5" max="5"/>
    <col width="45" customWidth="1" min="6" max="6"/>
  </cols>
  <sheetData>
    <row r="1">
      <c r="A1" s="8" t="inlineStr">
        <is>
          <t>ID</t>
        </is>
      </c>
      <c r="B1" s="8" t="inlineStr">
        <is>
          <t>Title</t>
        </is>
      </c>
      <c r="C1" s="8" t="inlineStr">
        <is>
          <t>Status</t>
        </is>
      </c>
      <c r="D1" s="8" t="inlineStr">
        <is>
          <t>Evidence strength</t>
        </is>
      </c>
      <c r="E1" s="8" t="inlineStr">
        <is>
          <t>Why</t>
        </is>
      </c>
      <c r="F1" s="9" t="inlineStr">
        <is>
          <t>Grader note</t>
        </is>
      </c>
    </row>
    <row r="2">
      <c r="A2" s="5" t="inlineStr">
        <is>
          <t>F-02</t>
        </is>
      </c>
      <c r="B2" s="5" t="inlineStr">
        <is>
          <t>Rule one in incident procedure not being followed</t>
        </is>
      </c>
      <c r="C2" s="5" t="inlineStr">
        <is>
          <t>dropped</t>
        </is>
      </c>
      <c r="D2" s="5" t="inlineStr">
        <is>
          <t>weak</t>
        </is>
      </c>
      <c r="E2" s="5" t="inlineStr">
        <is>
          <t>"Anyone who spots a security problem (suspicious email, lost device, wrong recipient, odd login) tells the Practice Manager (J. Stone) straight away.". Evidence from incident-emails.md show that two reports were made as they happened, provided dates prove this in both incident-emails.md and incident-procedure-and-log.md . Missing reports from INC-01, 02 and 03. So unable to confirm if they were actioned straight away. This is weak evidence because I am unable to confirm timing.</t>
        </is>
      </c>
      <c r="F2" s="5" t="inlineStr">
        <is>
          <t>Good call to drop: weak evidence, and no padding.</t>
        </is>
      </c>
    </row>
    <row r="3">
      <c r="A3" s="5" t="inlineStr">
        <is>
          <t>F-03</t>
        </is>
      </c>
      <c r="B3" s="5" t="inlineStr">
        <is>
          <t>MFA not being used</t>
        </is>
      </c>
      <c r="C3" s="5" t="inlineStr">
        <is>
          <t>selected</t>
        </is>
      </c>
      <c r="D3" s="5" t="inlineStr">
        <is>
          <t>strong</t>
        </is>
      </c>
      <c r="E3" s="5" t="inlineStr">
        <is>
          <t>"Multi-factor authentication (MFA) must be switched on for every account that can open patient records."User list shows that dr.bell, dr.chaudhry, dr.dunmore, dr.eze, rec.quinn, x-ray-pc, reception-clifton and reception-redland (8/30) do not have MFA enable even though they have access to client files. From the interview-notes-practice-manager.md On MFA: "Some of the dentists said it slows them down between patients, so we held off for them." In the incident-procedure-and-log.md it shows that INC-05 was dr.bell who had a sign in alert from overseas, dr bell does not have MFA enabled. This is strong evidence that the rule is not being followed.</t>
        </is>
      </c>
      <c r="F3" s="5" t="inlineStr"/>
    </row>
    <row r="4">
      <c r="A4" s="5" t="inlineStr">
        <is>
          <t>F-04</t>
        </is>
      </c>
      <c r="B4" s="5" t="inlineStr">
        <is>
          <t>Users who have left still have accounts enabled</t>
        </is>
      </c>
      <c r="C4" s="5" t="inlineStr">
        <is>
          <t>selected</t>
        </is>
      </c>
      <c r="D4" s="5" t="inlineStr">
        <is>
          <t>strong</t>
        </is>
      </c>
      <c r="E4" s="5" t="inlineStr">
        <is>
          <t>"When someone leaves the practice, their account is disabled by the end of their last working day." Rule from access-control-policy.md says that acounts will be disabled by end of their last day. List shows that accounts are still enabled. Evidence is strong because the list goes against the policy and in some cases users have been accessing their accounts after they have left. Lowe, Rees and Vance all logged in after they left.</t>
        </is>
      </c>
      <c r="F4" s="5" t="inlineStr"/>
    </row>
    <row r="5">
      <c r="A5" s="5" t="inlineStr">
        <is>
          <t>F-05</t>
        </is>
      </c>
      <c r="B5" s="5" t="inlineStr">
        <is>
          <t>Review of Access is not being being run as per the schedule.</t>
        </is>
      </c>
      <c r="C5" s="5" t="inlineStr">
        <is>
          <t>selected</t>
        </is>
      </c>
      <c r="D5" s="5" t="inlineStr">
        <is>
          <t>strong</t>
        </is>
      </c>
      <c r="E5" s="5" t="inlineStr">
        <is>
          <t>"Account access is reviewed every six months by the Practice Manager. The signed review is filed." This rule states that it should be run every six months but in the interview-notes-practice-manager.md the last review was missed. This is strong because access-reviews-exceptions-and-config.md shows the 2026-02-20 date as the last run date. It should have been run on 2026-08-20 but was not.</t>
        </is>
      </c>
      <c r="F5" s="5" t="inlineStr"/>
    </row>
    <row r="6">
      <c r="A6" s="5" t="inlineStr">
        <is>
          <t>F-06</t>
        </is>
      </c>
      <c r="B6" s="5" t="inlineStr">
        <is>
          <t>Review of critical suppliers is being missed</t>
        </is>
      </c>
      <c r="C6" s="5" t="inlineStr">
        <is>
          <t>selected</t>
        </is>
      </c>
      <c r="D6" s="5" t="inlineStr">
        <is>
          <t>strong</t>
        </is>
      </c>
      <c r="E6" s="5" t="inlineStr">
        <is>
          <t>"Critical suppliers (those that hold patient records or images) are reviewed every 12 months, and the review is recorded." According to this rule critical suppliers should be getting reviewed yearly but, in supplier-policy-and-register.md, there is one instance of ScanVault not being reviewed for quite sometime. This is strong evidence as it goes against the policy for a supplier who handles customer data to be reviewed yearly.</t>
        </is>
      </c>
      <c r="F6" s="5" t="inlineStr"/>
    </row>
    <row r="7">
      <c r="A7" s="5" t="inlineStr">
        <is>
          <t>F-07</t>
        </is>
      </c>
      <c r="B7" s="5" t="inlineStr">
        <is>
          <t>Shared login exemtpions are not being logged in the requests</t>
        </is>
      </c>
      <c r="C7" s="5" t="inlineStr">
        <is>
          <t>selected</t>
        </is>
      </c>
      <c r="D7" s="5" t="inlineStr">
        <is>
          <t>strong</t>
        </is>
      </c>
      <c r="E7" s="5" t="inlineStr">
        <is>
          <t>"Every member of staff has their own individual account. A shared login is allowed only with written approval from the Practice Manager, recorded in the exceptions register." In the rule it states exemptions should be logged in the register. There are 2 counts of shared accounts not being logged, the user-list.csv has both the reception desks as shared accounts but the access-reviews-exceptions-and-config.md do not have them logged. This is strong because it breaks the rule and is shown in multiple files to have broken the rule.</t>
        </is>
      </c>
      <c r="F7" s="5" t="inlineStr"/>
    </row>
    <row r="8">
      <c r="A8" s="5" t="inlineStr">
        <is>
          <t>F-08</t>
        </is>
      </c>
      <c r="B8" s="5" t="inlineStr">
        <is>
          <t>Customer information being shared with no DPA</t>
        </is>
      </c>
      <c r="C8" s="5" t="inlineStr">
        <is>
          <t>selected</t>
        </is>
      </c>
      <c r="D8" s="5" t="inlineStr">
        <is>
          <t>strong</t>
        </is>
      </c>
      <c r="E8" s="5" t="inlineStr">
        <is>
          <t>"No personal data is shared with a supplier until a written data processing agreement (DPA) is in place." Although the table that was given to me shows that data was only shared with companies after the DPA was signed, one company was missing. A DPA was never signed with PatientPing even though they shared customer information with said company. This is strong because the rule clearly states that suppliers who handle customer information need to sign the DPA but this is not the case as this supplier never had to sign one.</t>
        </is>
      </c>
      <c r="F8" s="5" t="inlineStr"/>
    </row>
    <row r="9">
      <c r="A9" s="5" t="inlineStr">
        <is>
          <t>F-09</t>
        </is>
      </c>
      <c r="B9" s="5" t="inlineStr">
        <is>
          <t>Causes were listed as recorded but no information on the causes</t>
        </is>
      </c>
      <c r="C9" s="5" t="inlineStr">
        <is>
          <t>selected</t>
        </is>
      </c>
      <c r="D9" s="5" t="inlineStr">
        <is>
          <t>strong</t>
        </is>
      </c>
      <c r="E9" s="5" t="inlineStr">
        <is>
          <t>"The Practice Manager reviews every incident within 5 working days and records the cause and any change made." Even though 3/5 have review dates and cause 2/5 are missing those columns. Document shows that INC-03 and 04 are missing review date and causes.   INC-03	2026-06-19 - This incident was closed on 2026-06-19 but no review date was recorded or cause  INC-04	2026-07-23 - This incident was closed on 2026-07-24 but no review date or cause recorded   This is strong because it's breaking the rule where these records should have those fields filled in.</t>
        </is>
      </c>
      <c r="F9" s="5" t="inlineStr">
        <is>
          <t>Title is confusing. It should say the review and cause are missing for 2 of 5 incidents.</t>
        </is>
      </c>
    </row>
  </sheetData>
  <autoFilter ref="A1:F9"/>
  <conditionalFormatting sqref="C2:C200">
    <cfRule type="cellIs" priority="1" operator="equal" dxfId="1">
      <formula>"selected"</formula>
    </cfRule>
    <cfRule type="cellIs" priority="2" operator="equal" dxfId="3">
      <formula>"dropped"</formula>
    </cfRule>
  </conditionalFormatting>
  <dataValidations count="2">
    <dataValidation sqref="C2:C200" showDropDown="0" showInputMessage="0" showErrorMessage="0" allowBlank="1" type="list">
      <formula1>"candidate,selected,dropped"</formula1>
    </dataValidation>
    <dataValidation sqref="D2:D200" showDropDown="0" showInputMessage="0" showErrorMessage="0" allowBlank="1" type="list">
      <formula1>"strong,medium,weak"</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S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45" customWidth="1" min="3" max="3"/>
    <col width="45" customWidth="1" min="4" max="4"/>
    <col width="35" customWidth="1" min="5" max="5"/>
    <col width="45" customWidth="1" min="6" max="6"/>
    <col width="45" customWidth="1" min="7" max="7"/>
    <col width="14" customWidth="1" min="8" max="8"/>
    <col width="12" customWidth="1" min="9" max="9"/>
    <col width="11" customWidth="1" min="10" max="10"/>
    <col width="35" customWidth="1" min="11" max="11"/>
    <col width="9" customWidth="1" min="12" max="12"/>
    <col width="35" customWidth="1" min="13" max="13"/>
    <col width="8" customWidth="1" min="14" max="14"/>
    <col width="10" customWidth="1" min="15" max="15"/>
    <col width="12" customWidth="1" min="16" max="16"/>
    <col width="18" customWidth="1" min="17" max="17"/>
    <col width="16" customWidth="1" min="18" max="18"/>
    <col width="70" customWidth="1" min="19" max="19"/>
  </cols>
  <sheetData>
    <row r="1">
      <c r="A1" s="8" t="inlineStr">
        <is>
          <t>ID</t>
        </is>
      </c>
      <c r="B1" s="8" t="inlineStr">
        <is>
          <t>Title</t>
        </is>
      </c>
      <c r="C1" s="8" t="inlineStr">
        <is>
          <t>Criteria</t>
        </is>
      </c>
      <c r="D1" s="8" t="inlineStr">
        <is>
          <t>Condition</t>
        </is>
      </c>
      <c r="E1" s="8" t="inlineStr">
        <is>
          <t>Cause</t>
        </is>
      </c>
      <c r="F1" s="8" t="inlineStr">
        <is>
          <t>Consequence</t>
        </is>
      </c>
      <c r="G1" s="8" t="inlineStr">
        <is>
          <t>Action</t>
        </is>
      </c>
      <c r="H1" s="8" t="inlineStr">
        <is>
          <t>Owner</t>
        </is>
      </c>
      <c r="I1" s="8" t="inlineStr">
        <is>
          <t>Due</t>
        </is>
      </c>
      <c r="J1" s="8" t="inlineStr">
        <is>
          <t>Likelihood</t>
        </is>
      </c>
      <c r="K1" s="8" t="inlineStr">
        <is>
          <t>Why that likelihood</t>
        </is>
      </c>
      <c r="L1" s="8" t="inlineStr">
        <is>
          <t>Impact</t>
        </is>
      </c>
      <c r="M1" s="8" t="inlineStr">
        <is>
          <t>Why that impact</t>
        </is>
      </c>
      <c r="N1" s="8" t="inlineStr">
        <is>
          <t>Score</t>
        </is>
      </c>
      <c r="O1" s="8" t="inlineStr">
        <is>
          <t>Rating</t>
        </is>
      </c>
      <c r="P1" s="8" t="inlineStr">
        <is>
          <t>Control ref</t>
        </is>
      </c>
      <c r="Q1" s="9" t="inlineStr">
        <is>
          <t>Origin</t>
        </is>
      </c>
      <c r="R1" s="9" t="inlineStr">
        <is>
          <t>Key rating</t>
        </is>
      </c>
      <c r="S1" s="9" t="inlineStr">
        <is>
          <t>Grader feedback</t>
        </is>
      </c>
    </row>
    <row r="2">
      <c r="A2" s="5" t="inlineStr">
        <is>
          <t>F-03</t>
        </is>
      </c>
      <c r="B2" s="5" t="inlineStr">
        <is>
          <t>MFA not being used</t>
        </is>
      </c>
      <c r="C2" s="5" t="inlineStr">
        <is>
          <t>Rule 2, access-control-policy.md, Multi-factor authentication (MFA) must be switched on for every account that can open patient records.</t>
        </is>
      </c>
      <c r="D2" s="5" t="inlineStr">
        <is>
          <t>8/30 Accounts do not have MFA enabled. Ev-07</t>
        </is>
      </c>
      <c r="E2" s="5" t="inlineStr"/>
      <c r="F2" s="5" t="inlineStr">
        <is>
          <t>MFA is a security barrier that stops people from accessing accounts without a second form of authenication for example a phone. This could lead to unauthorized access if a malicious actor is able to get a password. This was the case for INC-05 in which dr.bell had no MFA enabled and an overseas actor was able to access the account.</t>
        </is>
      </c>
      <c r="G2" s="5" t="inlineStr">
        <is>
          <t>Users are unable to access client information without MFA. Force set up of MFA.</t>
        </is>
      </c>
      <c r="H2" s="5" t="inlineStr">
        <is>
          <t>Jess Stone</t>
        </is>
      </c>
      <c r="I2" s="5" t="inlineStr">
        <is>
          <t>2026-10-25</t>
        </is>
      </c>
      <c r="J2" s="5" t="n">
        <v>3</v>
      </c>
      <c r="K2" s="5" t="inlineStr">
        <is>
          <t>It as already happened</t>
        </is>
      </c>
      <c r="L2" s="5" t="n">
        <v>3</v>
      </c>
      <c r="M2" s="5" t="inlineStr">
        <is>
          <t>Without MFA people have one less security block to access client data</t>
        </is>
      </c>
      <c r="N2" s="5">
        <f>IF(AND(ISNUMBER(J2),ISNUMBER(L2)),J2*L2,"")</f>
        <v/>
      </c>
      <c r="O2" s="10">
        <f>IF(N2="","",IF(N2&gt;=Summary!$B$30,"High",IF(N2&gt;=Summary!$B$31,"Medium","Low")))</f>
        <v/>
      </c>
      <c r="P2" s="5" t="inlineStr">
        <is>
          <t>N/A</t>
        </is>
      </c>
      <c r="Q2" s="5" t="inlineStr">
        <is>
          <t>Submitted</t>
        </is>
      </c>
      <c r="R2" s="5" t="inlineStr">
        <is>
          <t>9 High</t>
        </is>
      </c>
      <c r="S2" s="5" t="inlineStr">
        <is>
          <t>Caught, rating matches. Fix xray-pc. Add 4 of 6 dentists and explain why all 8 accounts can open patient records. No Cause line. Good: INC-05 linked and kept inside this finding.</t>
        </is>
      </c>
    </row>
    <row r="3">
      <c r="A3" s="5" t="inlineStr">
        <is>
          <t>F-04</t>
        </is>
      </c>
      <c r="B3" s="5" t="inlineStr">
        <is>
          <t>Users who have left still have accounts enabled</t>
        </is>
      </c>
      <c r="C3" s="5" t="inlineStr">
        <is>
          <t>Rule 3, access-control-policy.md "When someone leaves the practice, their account is disabled by the end of their last working day."</t>
        </is>
      </c>
      <c r="D3" s="5" t="inlineStr">
        <is>
          <t>3/30 of the accounts all accessed their accounts after they left, another 3/30 still have their accounts enabled. Ev-08</t>
        </is>
      </c>
      <c r="E3" s="5" t="inlineStr">
        <is>
          <t>Access review was done 2026-02-20 and should be done every 6 months but was not done on 2026-08-20</t>
        </is>
      </c>
      <c r="F3" s="5" t="inlineStr">
        <is>
          <t>If users can still access their accounts even after they have left the company then they could still access company data. This is a security risk as you are no longer in control of the data and who is viewing it.</t>
        </is>
      </c>
      <c r="G3" s="5" t="inlineStr">
        <is>
          <t>Disable all inactive accounts and regularly review who is still at the company and who has left.</t>
        </is>
      </c>
      <c r="H3" s="5" t="inlineStr">
        <is>
          <t>Jess Stone</t>
        </is>
      </c>
      <c r="I3" s="5" t="inlineStr">
        <is>
          <t>2026-10-27</t>
        </is>
      </c>
      <c r="J3" s="5" t="n">
        <v>3</v>
      </c>
      <c r="K3" s="5" t="inlineStr">
        <is>
          <t>It's already happening</t>
        </is>
      </c>
      <c r="L3" s="5" t="n">
        <v>3</v>
      </c>
      <c r="M3" s="5" t="inlineStr">
        <is>
          <t>Users who are still active could access and download user data</t>
        </is>
      </c>
      <c r="N3" s="5">
        <f>IF(AND(ISNUMBER(J3),ISNUMBER(L3)),J3*L3,"")</f>
        <v/>
      </c>
      <c r="O3" s="10">
        <f>IF(N3="","",IF(N3&gt;=Summary!$B$30,"High",IF(N3&gt;=Summary!$B$31,"Medium","Low")))</f>
        <v/>
      </c>
      <c r="P3" s="5" t="inlineStr"/>
      <c r="Q3" s="5" t="inlineStr">
        <is>
          <t>Submitted</t>
        </is>
      </c>
      <c r="R3" s="5" t="inlineStr">
        <is>
          <t>9 High</t>
        </is>
      </c>
      <c r="S3" s="5" t="inlineStr">
        <is>
          <t>Caught, rating matches. Counts: the finding says 3/30 and another 3/30. The count is 5 of 30 leavers enabled, 3 of the 5 signed in afterwards. Day counts run to 2026-10-22, not the 2026-10-14 export.</t>
        </is>
      </c>
    </row>
    <row r="4">
      <c r="A4" s="5" t="inlineStr">
        <is>
          <t>F-05</t>
        </is>
      </c>
      <c r="B4" s="5" t="inlineStr">
        <is>
          <t>Review of Access is not being being run as per the schedule.</t>
        </is>
      </c>
      <c r="C4" s="5" t="inlineStr">
        <is>
          <t>Rule 4, access-control-policy.md, "Account access is reviewed every six months by the Practice Manager. The signed review is filed."</t>
        </is>
      </c>
      <c r="D4" s="5" t="inlineStr">
        <is>
          <t>Evidence shows that the last review was done on 2026-02-20, Ev-15, access-reviews-exceptions-and-config.md</t>
        </is>
      </c>
      <c r="E4" s="5" t="inlineStr"/>
      <c r="F4" s="5" t="inlineStr">
        <is>
          <t>Not reviewing accounts leads to some accounts not being disabled when they should be. It also can lead to things like shared accounts not being registered.</t>
        </is>
      </c>
      <c r="G4" s="5" t="inlineStr">
        <is>
          <t>Action the review of the access control policy. Set up reminders for it to be done or even attempt some automation to remind you that there are still enabled accounts.</t>
        </is>
      </c>
      <c r="H4" s="5" t="inlineStr">
        <is>
          <t>Jess Stone</t>
        </is>
      </c>
      <c r="I4" s="5" t="inlineStr">
        <is>
          <t>2026-10-27</t>
        </is>
      </c>
      <c r="J4" s="5" t="n">
        <v>2</v>
      </c>
      <c r="K4" s="5" t="inlineStr">
        <is>
          <t>Reviews do happen but the evidence shows the latest one was missed.</t>
        </is>
      </c>
      <c r="L4" s="5" t="n">
        <v>3</v>
      </c>
      <c r="M4" s="5" t="inlineStr">
        <is>
          <t>Not reviewing who has access regularly can mean that accounts stay active for long for people who have left the company.</t>
        </is>
      </c>
      <c r="N4" s="5">
        <f>IF(AND(ISNUMBER(J4),ISNUMBER(L4)),J4*L4,"")</f>
        <v/>
      </c>
      <c r="O4" s="10">
        <f>IF(N4="","",IF(N4&gt;=Summary!$B$30,"High",IF(N4&gt;=Summary!$B$31,"Medium","Low")))</f>
        <v/>
      </c>
      <c r="P4" s="5" t="inlineStr"/>
      <c r="Q4" s="5" t="inlineStr">
        <is>
          <t>Submitted</t>
        </is>
      </c>
      <c r="R4" s="5" t="inlineStr">
        <is>
          <t>4 Medium (same band)</t>
        </is>
      </c>
      <c r="S4" s="5" t="inlineStr">
        <is>
          <t>Caught, same band as the key. Quantify: review due 2026-08-20, none filed by 30 Sep (41 days). No Cause line.</t>
        </is>
      </c>
    </row>
    <row r="5">
      <c r="A5" s="5" t="inlineStr">
        <is>
          <t>F-06</t>
        </is>
      </c>
      <c r="B5" s="5" t="inlineStr">
        <is>
          <t>Review of critical suppliers is being missed</t>
        </is>
      </c>
      <c r="C5" s="5" t="inlineStr">
        <is>
          <t>"Critical suppliers (those that hold patient records or images) are reviewed every 12 months, and the review is recorded. " Rule 2, supplier-policy-and-register.md</t>
        </is>
      </c>
      <c r="D5" s="5" t="inlineStr">
        <is>
          <t>Evidence shows that out of the 4/6 of the suppliers used are noted as critical 1/4 has not been reviewed since 2024-11-05. This breaks the rule as suppliers who are noted as critical should be getting reviewed every 12 months and that review is recorded.</t>
        </is>
      </c>
      <c r="E5" s="5" t="inlineStr"/>
      <c r="F5" s="5" t="inlineStr">
        <is>
          <t>Patient data needs to be secured correctly. Yearly reviews mean that you can review how your supplier is doing. If they are not working as intended then you can look at other options.</t>
        </is>
      </c>
      <c r="G5" s="5" t="inlineStr">
        <is>
          <t>Set reminders for you to meet for reviews for the companies when the 12 months has come up. Review ScanVault as soon as possible to make sure they're handling your customer data correctly.</t>
        </is>
      </c>
      <c r="H5" s="5" t="inlineStr">
        <is>
          <t>Jess Stone</t>
        </is>
      </c>
      <c r="I5" s="5" t="inlineStr">
        <is>
          <t>2026-10-27</t>
        </is>
      </c>
      <c r="J5" s="5" t="n">
        <v>3</v>
      </c>
      <c r="K5" s="5" t="inlineStr">
        <is>
          <t>Rule is been broken now.</t>
        </is>
      </c>
      <c r="L5" s="5" t="n">
        <v>2</v>
      </c>
      <c r="M5" s="5" t="inlineStr">
        <is>
          <t>The majority of your suppliers have been reviewed, this one has just fallen through the cracks.</t>
        </is>
      </c>
      <c r="N5" s="5">
        <f>IF(AND(ISNUMBER(J5),ISNUMBER(L5)),J5*L5,"")</f>
        <v/>
      </c>
      <c r="O5" s="10">
        <f>IF(N5="","",IF(N5&gt;=Summary!$B$30,"High",IF(N5&gt;=Summary!$B$31,"Medium","Low")))</f>
        <v/>
      </c>
      <c r="P5" s="5" t="inlineStr"/>
      <c r="Q5" s="5" t="inlineStr">
        <is>
          <t>Submitted</t>
        </is>
      </c>
      <c r="R5" s="5" t="inlineStr">
        <is>
          <t>4 to 6 Medium</t>
        </is>
      </c>
      <c r="S5" s="5" t="inlineStr">
        <is>
          <t>Caught, within the key's range. Quantify: due 2025-11-05, about 11 months overdue at 30 Sep 2026. No Cause line.</t>
        </is>
      </c>
    </row>
    <row r="6">
      <c r="A6" s="5" t="inlineStr">
        <is>
          <t>F-07</t>
        </is>
      </c>
      <c r="B6" s="5" t="inlineStr">
        <is>
          <t>Shared login exemtpions are not being logged in the requests</t>
        </is>
      </c>
      <c r="C6" s="5" t="inlineStr">
        <is>
          <t>"Every member of staff has their own individual account. A shared login is allowed only with written approval from the Practice Manager, recorded in the exceptions register." Rule 1, access-control-policy.md</t>
        </is>
      </c>
      <c r="D6" s="5" t="inlineStr">
        <is>
          <t>Evidence shows that there are 3 listed shared accounts in the user.csv but only 1/3 of those are listed in the Exceptions Register. Ev-06</t>
        </is>
      </c>
      <c r="E6" s="5" t="inlineStr"/>
      <c r="F6" s="5" t="inlineStr">
        <is>
          <t>Shared logins amongst users can wide the attack surface as more people have access to the logins. Passwords are shared which means users need to all look after that single password.</t>
        </is>
      </c>
      <c r="G6" s="5" t="inlineStr">
        <is>
          <t>Register those shared accounts in ther register so you have a record of them being active. Also require MFA with those accounts for extra security</t>
        </is>
      </c>
      <c r="H6" s="5" t="inlineStr">
        <is>
          <t>Jess Stone</t>
        </is>
      </c>
      <c r="I6" s="5" t="inlineStr">
        <is>
          <t>2026-10-23</t>
        </is>
      </c>
      <c r="J6" s="5" t="n">
        <v>2</v>
      </c>
      <c r="K6" s="5" t="inlineStr">
        <is>
          <t>Likelihood of losing the password is low but could still happen.</t>
        </is>
      </c>
      <c r="L6" s="5" t="n">
        <v>2</v>
      </c>
      <c r="M6" s="5" t="inlineStr">
        <is>
          <t>1/3 accounts is register and that is the more significant one, 2/3 are the shared reception desks.</t>
        </is>
      </c>
      <c r="N6" s="5">
        <f>IF(AND(ISNUMBER(J6),ISNUMBER(L6)),J6*L6,"")</f>
        <v/>
      </c>
      <c r="O6" s="10">
        <f>IF(N6="","",IF(N6&gt;=Summary!$B$30,"High",IF(N6&gt;=Summary!$B$31,"Medium","Low")))</f>
        <v/>
      </c>
      <c r="P6" s="5" t="inlineStr"/>
      <c r="Q6" s="5" t="inlineStr">
        <is>
          <t>Submitted</t>
        </is>
      </c>
      <c r="R6" s="5" t="inlineStr">
        <is>
          <t>6 Medium</t>
        </is>
      </c>
      <c r="S6" s="5" t="inlineStr">
        <is>
          <t>Caught, same band. The stronger impact point is accountability: with a shared login you cannot tell who opened which record. No Cause line.</t>
        </is>
      </c>
    </row>
    <row r="7">
      <c r="A7" s="5" t="inlineStr">
        <is>
          <t>F-08</t>
        </is>
      </c>
      <c r="B7" s="5" t="inlineStr">
        <is>
          <t>Customer information being shared with no DPA</t>
        </is>
      </c>
      <c r="C7" s="5" t="inlineStr">
        <is>
          <t>"No personal data is shared with a supplier until a written data processing agreement (DPA) is in place." Rule 1, suplier-policy-and-register.md</t>
        </is>
      </c>
      <c r="D7" s="5" t="inlineStr">
        <is>
          <t>Evidence shows that clients names and contact information was shared with PatientPing when a DPA was never signed. 5/6 of the suppliers had DPAs signed but 1/6 is missing. Ev-11 and 12</t>
        </is>
      </c>
      <c r="E7" s="5" t="inlineStr">
        <is>
          <t>Receptionist signed up for the supplier online</t>
        </is>
      </c>
      <c r="F7" s="5" t="inlineStr">
        <is>
          <t>Not having a paper trail when using a supplier that handles customer information can fallback onto the company. If any of that data were to leak to outside sources this could blowback on the company for not getting the correct paperwork in order before sharing information.</t>
        </is>
      </c>
      <c r="G7" s="5" t="inlineStr">
        <is>
          <t>Before using PatientPing again, request them to sign a DPA or at least ask them to show there standard terms as with Microsoft.</t>
        </is>
      </c>
      <c r="H7" s="5" t="inlineStr">
        <is>
          <t>Jess Stone</t>
        </is>
      </c>
      <c r="I7" s="5" t="inlineStr">
        <is>
          <t>2026-11-05</t>
        </is>
      </c>
      <c r="J7" s="5" t="n">
        <v>1</v>
      </c>
      <c r="K7" s="5" t="inlineStr">
        <is>
          <t>Online companies usually have a standard terms in which they handle and process data.</t>
        </is>
      </c>
      <c r="L7" s="5" t="n">
        <v>2</v>
      </c>
      <c r="M7" s="5" t="inlineStr">
        <is>
          <t>The data shared is clients names and numbers which would cause problems if they were leaked</t>
        </is>
      </c>
      <c r="N7" s="5">
        <f>IF(AND(ISNUMBER(J7),ISNUMBER(L7)),J7*L7,"")</f>
        <v/>
      </c>
      <c r="O7" s="10">
        <f>IF(N7="","",IF(N7&gt;=Summary!$B$30,"High",IF(N7&gt;=Summary!$B$31,"Medium","Low")))</f>
        <v/>
      </c>
      <c r="P7" s="5" t="inlineStr"/>
      <c r="Q7" s="5" t="inlineStr">
        <is>
          <t>Submitted</t>
        </is>
      </c>
      <c r="R7" s="5" t="inlineStr">
        <is>
          <t>6 to 9 Medium to High</t>
        </is>
      </c>
      <c r="S7" s="5" t="inlineStr">
        <is>
          <t>Caught but rated too low. The Low rating rests on an outside assumption (online companies usually have standard terms). The policy requires a written DPA before data is shared. PatientPing holds patient names and mobile numbers and was never reviewed.</t>
        </is>
      </c>
    </row>
    <row r="8">
      <c r="A8" s="5" t="inlineStr">
        <is>
          <t>F-09</t>
        </is>
      </c>
      <c r="B8" s="5" t="inlineStr">
        <is>
          <t>Causes were listed as recorded but no information on the causes</t>
        </is>
      </c>
      <c r="C8" s="5" t="inlineStr">
        <is>
          <t>"The Practice Manager reviews every incident within 5 working days and records the cause and any change made." Rule 4, incident-procedure-and-log.md</t>
        </is>
      </c>
      <c r="D8" s="5" t="inlineStr">
        <is>
          <t>Evidence shows that 3/5 had review dates and cause added to them but 2/5 were missing the review dates and causes. Ev-04</t>
        </is>
      </c>
      <c r="E8" s="5" t="inlineStr"/>
      <c r="F8" s="5" t="inlineStr">
        <is>
          <t>Incidents logs are very important it gives you a snapshot in time in when that particular even happened. Someone reviewing this information needs to be able to see when that incident was reviewed and if the cause of that incident was logged otherwise the logs are missing valuable information.</t>
        </is>
      </c>
      <c r="G8" s="5" t="inlineStr">
        <is>
          <t>Future logs need to be complete in order for them to be consistent. If you are able update those logs with the correct information.</t>
        </is>
      </c>
      <c r="H8" s="5" t="inlineStr">
        <is>
          <t>Jess Stone</t>
        </is>
      </c>
      <c r="I8" s="5" t="inlineStr">
        <is>
          <t>2026-10-24</t>
        </is>
      </c>
      <c r="J8" s="5" t="n">
        <v>2</v>
      </c>
      <c r="K8" s="5" t="inlineStr">
        <is>
          <t>Information is being stored correctly in most cases but some are lacking</t>
        </is>
      </c>
      <c r="L8" s="5" t="n">
        <v>1</v>
      </c>
      <c r="M8" s="5" t="inlineStr">
        <is>
          <t>Minor impact as these logs are helpful to go back and look at but pose no security threat.</t>
        </is>
      </c>
      <c r="N8" s="5">
        <f>IF(AND(ISNUMBER(J8),ISNUMBER(L8)),J8*L8,"")</f>
        <v/>
      </c>
      <c r="O8" s="10">
        <f>IF(N8="","",IF(N8&gt;=Summary!$B$30,"High",IF(N8&gt;=Summary!$B$31,"Medium","Low")))</f>
        <v/>
      </c>
      <c r="P8" s="5" t="inlineStr"/>
      <c r="Q8" s="5" t="inlineStr">
        <is>
          <t>Submitted</t>
        </is>
      </c>
      <c r="R8" s="5" t="inlineStr">
        <is>
          <t>6 Medium</t>
        </is>
      </c>
      <c r="S8" s="5" t="inlineStr">
        <is>
          <t>Caught but rated too low. Incidents are going unreviewed now (likelihood 3). Title is confusing. No Cause line.</t>
        </is>
      </c>
    </row>
    <row r="9">
      <c r="A9" s="5" t="inlineStr">
        <is>
          <t>F-10</t>
        </is>
      </c>
      <c r="B9" s="5" t="inlineStr">
        <is>
          <t>Wrong-patient email (INC-04) was never assessed for reporting</t>
        </is>
      </c>
      <c r="C9" s="5" t="inlineStr">
        <is>
          <t>Step 3, incident-procedure-and-log.md: "If patient data may be affected, the Practice Manager decides within 72 hours whether the ICO must be told and whether patients must be notified, and records the decision in the log."</t>
        </is>
      </c>
      <c r="D9" s="5" t="inlineStr">
        <is>
          <t>On 2026-07-23 a receptionist emailed tomorrow's appointment list (patient names and treatments) to the wrong patient. The only action was a phone call asking them to delete it. No decision on reporting to the ICO or telling patients is recorded, and the incident was closed on 2026-07-24 with no review. INC-03 also has no decision, so 2 of 5 incidents lack one.</t>
        </is>
      </c>
      <c r="E9" s="5" t="inlineStr">
        <is>
          <t>The practice treated the incident as dealt with once the recipient said she had deleted it, and "didn't want to alarm anyone" (interview).</t>
        </is>
      </c>
      <c r="F9" s="5" t="inlineStr">
        <is>
          <t>A list of patient names and treatments is health data, so this may be a reportable personal data breach. The 72-hour window has passed with no decision on record, and there is no record that the patients on the list were told.</t>
        </is>
      </c>
      <c r="G9" s="5" t="inlineStr">
        <is>
          <t>Assess INC-04 now, record the decision (with a reason if no report is made), tell the affected patients if required, and apply the step 3 check to every future incident.</t>
        </is>
      </c>
      <c r="H9" s="5" t="inlineStr">
        <is>
          <t>Jess Stone</t>
        </is>
      </c>
      <c r="I9" s="5" t="inlineStr">
        <is>
          <t>2026-10-27</t>
        </is>
      </c>
      <c r="J9" s="5" t="n">
        <v>3</v>
      </c>
      <c r="K9" s="5" t="inlineStr">
        <is>
          <t>It has already happened and no assessment was made</t>
        </is>
      </c>
      <c r="L9" s="5" t="n">
        <v>3</v>
      </c>
      <c r="M9" s="5" t="inlineStr">
        <is>
          <t>The data is patient names and treatments, which is health information</t>
        </is>
      </c>
      <c r="N9" s="5">
        <f>IF(AND(ISNUMBER(J9),ISNUMBER(L9)),J9*L9,"")</f>
        <v/>
      </c>
      <c r="O9" s="10">
        <f>IF(N9="","",IF(N9&gt;=Summary!$B$30,"High",IF(N9&gt;=Summary!$B$31,"Medium","Low")))</f>
        <v/>
      </c>
      <c r="P9" s="5" t="inlineStr"/>
      <c r="Q9" s="5" t="inlineStr">
        <is>
          <t>Added from grading</t>
        </is>
      </c>
      <c r="R9" s="5" t="inlineStr">
        <is>
          <t>9 High</t>
        </is>
      </c>
      <c r="S9" s="5" t="inlineStr">
        <is>
          <t>Missed by the assessor. Added from the grading report's description. Owner and due date are proposed, not from the grader.</t>
        </is>
      </c>
    </row>
  </sheetData>
  <autoFilter ref="A1:S9"/>
  <conditionalFormatting sqref="O2:O200">
    <cfRule type="cellIs" priority="1" operator="equal" dxfId="0">
      <formula>"High"</formula>
    </cfRule>
    <cfRule type="cellIs" priority="2" operator="equal" dxfId="2">
      <formula>"Medium"</formula>
    </cfRule>
    <cfRule type="cellIs" priority="3" operator="equal" dxfId="1">
      <formula>"Low"</formula>
    </cfRule>
  </conditionalFormatting>
  <conditionalFormatting sqref="Q2:Q200">
    <cfRule type="cellIs" priority="4" operator="equal" dxfId="4">
      <formula>"Added from grading"</formula>
    </cfRule>
  </conditionalFormatting>
  <conditionalFormatting sqref="C2:M200">
    <cfRule type="expression" priority="5" dxfId="5">
      <formula>AND($A2&lt;&gt;"",C2="")</formula>
    </cfRule>
  </conditionalFormatting>
  <dataValidations count="2">
    <dataValidation sqref="J2:J200" showDropDown="0" showInputMessage="0" showErrorMessage="1" allowBlank="1" errorTitle="Scale 1-3" error="Enter 1, 2 or 3" type="whole" operator="between">
      <formula1>1</formula1>
      <formula2>3</formula2>
    </dataValidation>
    <dataValidation sqref="L2:L200" showDropDown="0" showInputMessage="0" showErrorMessage="1" allowBlank="1" errorTitle="Scale 1-3" error="Enter 1, 2 or 3" type="whole" operator="between">
      <formula1>1</formula1>
      <formula2>3</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70" customWidth="1" min="2" max="2"/>
    <col width="22" customWidth="1" min="3" max="3"/>
    <col width="12" customWidth="1" min="4" max="4"/>
    <col width="16" customWidth="1" min="5" max="5"/>
    <col width="14" customWidth="1" min="6" max="6"/>
  </cols>
  <sheetData>
    <row r="1">
      <c r="A1" s="8" t="inlineStr">
        <is>
          <t>#</t>
        </is>
      </c>
      <c r="B1" s="8" t="inlineStr">
        <is>
          <t>Planted gap</t>
        </is>
      </c>
      <c r="C1" s="8" t="inlineStr">
        <is>
          <t>Result</t>
        </is>
      </c>
      <c r="D1" s="8" t="inlineStr">
        <is>
          <t>Your rating</t>
        </is>
      </c>
      <c r="E1" s="8" t="inlineStr">
        <is>
          <t>Key rating</t>
        </is>
      </c>
      <c r="F1" s="8" t="inlineStr">
        <is>
          <t>Finding</t>
        </is>
      </c>
    </row>
    <row r="2">
      <c r="A2" s="5" t="inlineStr">
        <is>
          <t>1</t>
        </is>
      </c>
      <c r="B2" s="5" t="inlineStr">
        <is>
          <t>Leavers still enabled (access rule 3): 5 of 30, 3 signed in after leaving</t>
        </is>
      </c>
      <c r="C2" s="5" t="inlineStr">
        <is>
          <t>Caught</t>
        </is>
      </c>
      <c r="D2" s="5" t="inlineStr">
        <is>
          <t>9</t>
        </is>
      </c>
      <c r="E2" s="5" t="inlineStr">
        <is>
          <t>9</t>
        </is>
      </c>
      <c r="F2" s="5" t="inlineStr">
        <is>
          <t>F-04</t>
        </is>
      </c>
    </row>
    <row r="3">
      <c r="A3" s="5" t="inlineStr">
        <is>
          <t>2</t>
        </is>
      </c>
      <c r="B3" s="5" t="inlineStr">
        <is>
          <t>MFA off (access rule 2): 8 of 30, INC-05 linked</t>
        </is>
      </c>
      <c r="C3" s="5" t="inlineStr">
        <is>
          <t>Caught</t>
        </is>
      </c>
      <c r="D3" s="5" t="inlineStr">
        <is>
          <t>9</t>
        </is>
      </c>
      <c r="E3" s="5" t="inlineStr">
        <is>
          <t>9</t>
        </is>
      </c>
      <c r="F3" s="5" t="inlineStr">
        <is>
          <t>F-03</t>
        </is>
      </c>
    </row>
    <row r="4">
      <c r="A4" s="5" t="inlineStr">
        <is>
          <t>3</t>
        </is>
      </c>
      <c r="B4" s="5" t="inlineStr">
        <is>
          <t>Shared logins without approval (access rule 1): 2 of 3</t>
        </is>
      </c>
      <c r="C4" s="5" t="inlineStr">
        <is>
          <t>Caught</t>
        </is>
      </c>
      <c r="D4" s="5" t="inlineStr">
        <is>
          <t>4</t>
        </is>
      </c>
      <c r="E4" s="5" t="inlineStr">
        <is>
          <t>6 (same band)</t>
        </is>
      </c>
      <c r="F4" s="5" t="inlineStr">
        <is>
          <t>F-07</t>
        </is>
      </c>
    </row>
    <row r="5">
      <c r="A5" s="5" t="inlineStr">
        <is>
          <t>4</t>
        </is>
      </c>
      <c r="B5" s="5" t="inlineStr">
        <is>
          <t>Access review overdue (access rule 4): due 2026-08-20, none filed</t>
        </is>
      </c>
      <c r="C5" s="5" t="inlineStr">
        <is>
          <t>Caught</t>
        </is>
      </c>
      <c r="D5" s="5" t="inlineStr">
        <is>
          <t>6</t>
        </is>
      </c>
      <c r="E5" s="5" t="inlineStr">
        <is>
          <t>4 (same band)</t>
        </is>
      </c>
      <c r="F5" s="5" t="inlineStr">
        <is>
          <t>F-05</t>
        </is>
      </c>
    </row>
    <row r="6">
      <c r="A6" s="5" t="inlineStr">
        <is>
          <t>5</t>
        </is>
      </c>
      <c r="B6" s="5" t="inlineStr">
        <is>
          <t>INC-04 not assessed (incident procedure step 3)</t>
        </is>
      </c>
      <c r="C6" s="5" t="inlineStr">
        <is>
          <t>Missed</t>
        </is>
      </c>
      <c r="D6" s="5" t="inlineStr">
        <is>
          <t>n/a</t>
        </is>
      </c>
      <c r="E6" s="5" t="inlineStr">
        <is>
          <t>9</t>
        </is>
      </c>
      <c r="F6" s="5" t="inlineStr">
        <is>
          <t>F-10 (added)</t>
        </is>
      </c>
    </row>
    <row r="7">
      <c r="A7" s="5" t="inlineStr">
        <is>
          <t>6</t>
        </is>
      </c>
      <c r="B7" s="5" t="inlineStr">
        <is>
          <t>Incident reviews missing (incident procedure step 4): 2 of 5</t>
        </is>
      </c>
      <c r="C7" s="5" t="inlineStr">
        <is>
          <t>Caught, rated too low</t>
        </is>
      </c>
      <c r="D7" s="5" t="inlineStr">
        <is>
          <t>2</t>
        </is>
      </c>
      <c r="E7" s="5" t="inlineStr">
        <is>
          <t>6</t>
        </is>
      </c>
      <c r="F7" s="5" t="inlineStr">
        <is>
          <t>F-09</t>
        </is>
      </c>
    </row>
    <row r="8">
      <c r="A8" s="5" t="inlineStr">
        <is>
          <t>7</t>
        </is>
      </c>
      <c r="B8" s="5" t="inlineStr">
        <is>
          <t>PatientPing, no DPA (supplier rule 1): 5 of 6 have DPAs</t>
        </is>
      </c>
      <c r="C8" s="5" t="inlineStr">
        <is>
          <t>Caught, rated too low</t>
        </is>
      </c>
      <c r="D8" s="5" t="inlineStr">
        <is>
          <t>2</t>
        </is>
      </c>
      <c r="E8" s="5" t="inlineStr">
        <is>
          <t>6 to 9</t>
        </is>
      </c>
      <c r="F8" s="5" t="inlineStr">
        <is>
          <t>F-08</t>
        </is>
      </c>
    </row>
    <row r="9">
      <c r="A9" s="5" t="inlineStr">
        <is>
          <t>8</t>
        </is>
      </c>
      <c r="B9" s="5" t="inlineStr">
        <is>
          <t>ScanVault review overdue (supplier rule 2): 1 of 4 critical</t>
        </is>
      </c>
      <c r="C9" s="5" t="inlineStr">
        <is>
          <t>Caught</t>
        </is>
      </c>
      <c r="D9" s="5" t="inlineStr">
        <is>
          <t>6</t>
        </is>
      </c>
      <c r="E9" s="5" t="inlineStr">
        <is>
          <t>4 to 6</t>
        </is>
      </c>
      <c r="F9" s="5" t="inlineStr">
        <is>
          <t>F-06</t>
        </is>
      </c>
    </row>
  </sheetData>
  <autoFilter ref="A1:F9"/>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10" customWidth="1" min="3" max="3"/>
  </cols>
  <sheetData>
    <row r="1">
      <c r="A1" s="8" t="inlineStr">
        <is>
          <t>Section</t>
        </is>
      </c>
      <c r="B1" s="8" t="inlineStr">
        <is>
          <t>Point</t>
        </is>
      </c>
      <c r="C1" s="8" t="inlineStr">
        <is>
          <t>Detail</t>
        </is>
      </c>
    </row>
    <row r="2">
      <c r="A2" s="5" t="inlineStr">
        <is>
          <t>Grading summary</t>
        </is>
      </c>
      <c r="B2" s="5" t="inlineStr">
        <is>
          <t>Planted gaps caught</t>
        </is>
      </c>
      <c r="C2" s="5" t="inlineStr">
        <is>
          <t>7 of 8. Missed: INC-04 (incident procedure step 3).</t>
        </is>
      </c>
    </row>
    <row r="3">
      <c r="A3" s="5" t="inlineStr">
        <is>
          <t>Grading summary</t>
        </is>
      </c>
      <c r="B3" s="5" t="inlineStr">
        <is>
          <t>Ratings</t>
        </is>
      </c>
      <c r="C3" s="5" t="inlineStr">
        <is>
          <t>5 of 7 within one step of the key. Two rated too low: PatientPing and the incident reviews.</t>
        </is>
      </c>
    </row>
    <row r="4">
      <c r="A4" s="5" t="inlineStr">
        <is>
          <t>Grading summary</t>
        </is>
      </c>
      <c r="B4" s="5" t="inlineStr">
        <is>
          <t>False traps avoided</t>
        </is>
      </c>
      <c r="C4" s="5" t="inlineStr">
        <is>
          <t>Password length, the data protection lead role, backups, training and the privacy notice.</t>
        </is>
      </c>
    </row>
    <row r="5">
      <c r="A5" s="5" t="inlineStr">
        <is>
          <t>Grading summary</t>
        </is>
      </c>
      <c r="B5" s="5" t="inlineStr">
        <is>
          <t>Can't test</t>
        </is>
      </c>
      <c r="C5" s="5" t="inlineStr">
        <is>
          <t>C-10 handled correctly: not a gap, evidence requested.</t>
        </is>
      </c>
    </row>
    <row r="6">
      <c r="A6" s="5" t="inlineStr">
        <is>
          <t>Grading summary</t>
        </is>
      </c>
      <c r="B6" s="5" t="inlineStr">
        <is>
          <t>Slots</t>
        </is>
      </c>
      <c r="C6" s="5" t="inlineStr">
        <is>
          <t>Only 7 findings submitted. The deliverable is exactly 8.</t>
        </is>
      </c>
    </row>
    <row r="7">
      <c r="A7" s="5" t="inlineStr">
        <is>
          <t>Grading summary</t>
        </is>
      </c>
      <c r="B7" s="5" t="inlineStr">
        <is>
          <t>What was missed</t>
        </is>
      </c>
      <c r="C7" s="5" t="inlineStr">
        <is>
          <t>INC-04: on 2026-07-23 a receptionist emailed tomorrow's appointment list (patient names and treatments) to the wrong patient. The only action was a phone call asking them to delete it. No ICO or patient decision was recorded and no review followed. The interview note says "we didn't want to alarm anyone". This breaks incident procedure step 3. Likelihood 3 x Impact 3 = High (9).</t>
        </is>
      </c>
    </row>
    <row r="8">
      <c r="A8" s="5" t="inlineStr">
        <is>
          <t>Grading summary</t>
        </is>
      </c>
      <c r="B8" s="5" t="inlineStr">
        <is>
          <t>How it slipped through</t>
        </is>
      </c>
      <c r="C8" s="5" t="inlineStr">
        <is>
          <t>C-03 was marked meets because 3 of 5 incidents had a decision logged. The rule is conditional, so test per incident. INC-03 and INC-04 are the two without a decision. INC-04 also supports F-09 but needs its own finding with its own evidence.</t>
        </is>
      </c>
    </row>
    <row r="9">
      <c r="A9" s="5" t="inlineStr">
        <is>
          <t>Done well</t>
        </is>
      </c>
      <c r="B9" s="5" t="inlineStr">
        <is>
          <t>Policy quoted and counted</t>
        </is>
      </c>
      <c r="C9" s="5" t="inlineStr">
        <is>
          <t>Quoted the policy rule in every finding and used counts (8/30, 2 of 3, 5/6).</t>
        </is>
      </c>
    </row>
    <row r="10">
      <c r="A10" s="5" t="inlineStr">
        <is>
          <t>Done well</t>
        </is>
      </c>
      <c r="B10" s="5" t="inlineStr">
        <is>
          <t>Password length</t>
        </is>
      </c>
      <c r="C10" s="5" t="inlineStr">
        <is>
          <t>Correctly marked C-09 as meets and did not spend a slot on it.</t>
        </is>
      </c>
    </row>
    <row r="11">
      <c r="A11" s="5" t="inlineStr">
        <is>
          <t>Done well</t>
        </is>
      </c>
      <c r="B11" s="5" t="inlineStr">
        <is>
          <t>INC-05</t>
        </is>
      </c>
      <c r="C11" s="5" t="inlineStr">
        <is>
          <t>Linked to the MFA finding and kept inside it.</t>
        </is>
      </c>
    </row>
    <row r="12">
      <c r="A12" s="5" t="inlineStr">
        <is>
          <t>Done well</t>
        </is>
      </c>
      <c r="B12" s="5" t="inlineStr">
        <is>
          <t>Access review</t>
        </is>
      </c>
      <c r="C12" s="5" t="inlineStr">
        <is>
          <t>Noticed that a timely access review would likely have caught the leavers.</t>
        </is>
      </c>
    </row>
    <row r="13">
      <c r="A13" s="5" t="inlineStr">
        <is>
          <t>Done well</t>
        </is>
      </c>
      <c r="B13" s="5" t="inlineStr">
        <is>
          <t>Candidate discipline</t>
        </is>
      </c>
      <c r="C13" s="5" t="inlineStr">
        <is>
          <t>Dropped the weak C-01 candidate rather than padding.</t>
        </is>
      </c>
    </row>
    <row r="14">
      <c r="A14" s="5" t="inlineStr">
        <is>
          <t>Done well</t>
        </is>
      </c>
      <c r="B14" s="5" t="inlineStr">
        <is>
          <t>Can't test</t>
        </is>
      </c>
      <c r="C14" s="5" t="inlineStr">
        <is>
          <t>Logged the C-10 request as can't test and did not treat it as a gap.</t>
        </is>
      </c>
    </row>
    <row r="15">
      <c r="A15" s="5" t="inlineStr">
        <is>
          <t>Done well</t>
        </is>
      </c>
      <c r="B15" s="5" t="inlineStr">
        <is>
          <t>Reliability notes</t>
        </is>
      </c>
      <c r="C15" s="5" t="inlineStr">
        <is>
          <t>The evidence log notes reliability, for example that supplier start dates come from the practice manager's records.</t>
        </is>
      </c>
    </row>
    <row r="16">
      <c r="A16" s="5" t="inlineStr">
        <is>
          <t>For next time</t>
        </is>
      </c>
      <c r="B16" s="5" t="inlineStr">
        <is>
          <t>1</t>
        </is>
      </c>
      <c r="C16" s="5" t="inlineStr">
        <is>
          <t>When a rule is conditional, test the condition for every item, then check the outcome. Do not count entries.</t>
        </is>
      </c>
    </row>
    <row r="17">
      <c r="A17" s="5" t="inlineStr">
        <is>
          <t>For next time</t>
        </is>
      </c>
      <c r="B17" s="5" t="inlineStr">
        <is>
          <t>2</t>
        </is>
      </c>
      <c r="C17" s="5" t="inlineStr">
        <is>
          <t>Use the eight slots. If you have seven strong findings, go back through the meets rows before you submit.</t>
        </is>
      </c>
    </row>
    <row r="18">
      <c r="A18" s="5" t="inlineStr">
        <is>
          <t>For next time</t>
        </is>
      </c>
      <c r="B18" s="5" t="inlineStr">
        <is>
          <t>3</t>
        </is>
      </c>
      <c r="C18" s="5" t="inlineStr">
        <is>
          <t>Rate with the scale, and check a finding's rating matches its own wording ("it's already happening" is a 3 for likelihood).</t>
        </is>
      </c>
    </row>
    <row r="19">
      <c r="A19" s="5" t="inlineStr">
        <is>
          <t>For next time</t>
        </is>
      </c>
      <c r="B19" s="5" t="inlineStr">
        <is>
          <t>4</t>
        </is>
      </c>
      <c r="C19" s="5" t="inlineStr">
        <is>
          <t>Give every finding a Cause line.</t>
        </is>
      </c>
    </row>
    <row r="20">
      <c r="A20" s="5" t="inlineStr">
        <is>
          <t>For next time</t>
        </is>
      </c>
      <c r="B20" s="5" t="inlineStr">
        <is>
          <t>5</t>
        </is>
      </c>
      <c r="C20" s="5" t="inlineStr">
        <is>
          <t>Check any claim in your notes against the source before it goes into a finding.</t>
        </is>
      </c>
    </row>
  </sheetData>
  <autoFilter ref="A1:C2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2026-10-22T02:48:54Z</dcterms:created>
  <dcterms:modified xsi:type="dcterms:W3CDTF">2026-10-22T02:48:54Z</dcterms:modified>
</cp:coreProperties>
</file>